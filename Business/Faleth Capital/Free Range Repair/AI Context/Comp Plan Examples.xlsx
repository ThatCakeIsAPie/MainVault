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CB Manufacturing Line" sheetId="1" r:id="rId5"/>
    <sheet state="visible" name="Pool Cleaning" sheetId="2" r:id="rId6"/>
    <sheet state="visible" name="Electronics Repair" sheetId="3"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tc={03e15c47-7f9d-47e9-bdc4-de96528af216}</author>
    <author>tc={6a1009de-b8bc-406a-8937-b9f39adbce48}</author>
    <author>tc={84ac0ece-21f7-4228-bd96-e49a4c405df4}</author>
    <author>tc={89b5915a-a892-475d-ade8-310e227c3869}</author>
    <author>tc={fc78d7ae-da4f-4e5d-a700-7bdbe6c19d4a}</author>
  </authors>
  <commentList>
    <comment authorId="0" xr:uid="{03e15c47-7f9d-47e9-bdc4-de96528af216}" ref="K3">
      <text>
        <t xml:space="preserve">[Threaded comment]
 Your version of Excel allows you to read this threaded comment; however, any edits to it will get removed if the file is opened in a newer version of Excel. Learn more: https://go.microsoft.com/fwlink/?linkid=870924
Comment:
	Standard at 10-20%
Reply:
	Marked as resolved
Reply:
	Re-opened
</t>
      </text>
    </comment>
    <comment authorId="1" xr:uid="{6a1009de-b8bc-406a-8937-b9f39adbce48}" ref="N3">
      <text>
        <t xml:space="preserve">[Threaded comment]
 Your version of Excel allows you to read this threaded comment; however, any edits to it will get removed if the file is opened in a newer version of Excel. Learn more: https://go.microsoft.com/fwlink/?linkid=870924
Comment:
	Standard at 5%
</t>
      </text>
    </comment>
    <comment authorId="2" xr:uid="{84ac0ece-21f7-4228-bd96-e49a4c405df4}" ref="N23">
      <text>
        <t xml:space="preserve">[Threaded comment]
 Your version of Excel allows you to read this threaded comment; however, any edits to it will get removed if the file is opened in a newer version of Excel. Learn more: https://go.microsoft.com/fwlink/?linkid=870924
Comment:
	Based on an 8 hour work day
</t>
      </text>
    </comment>
    <comment authorId="3" xr:uid="{89b5915a-a892-475d-ade8-310e227c3869}" ref="L3">
      <text>
        <t xml:space="preserve">[Threaded comment]
 Your version of Excel allows you to read this threaded comment; however, any edits to it will get removed if the file is opened in a newer version of Excel. Learn more: https://go.microsoft.com/fwlink/?linkid=870924
Comment:
	Standard at 20-30%
</t>
      </text>
    </comment>
    <comment authorId="4" xr:uid="{fc78d7ae-da4f-4e5d-a700-7bdbe6c19d4a}" ref="J3">
      <text>
        <t xml:space="preserve">[Threaded comment]
 Your version of Excel allows you to read this threaded comment; however, any edits to it will get removed if the file is opened in a newer version of Excel. Learn more: https://go.microsoft.com/fwlink/?linkid=870924
Comment:
	With this iteration, the Project Completion Bonus is withheld until the project is completed, rather than being an extra bonus tacked on. Mostly just easier to calculate this way, and for anything that doesn't require it, it can just be set at 0%.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tc={75be662c-fbb8-4ba7-ae09-0660cdb33561}</author>
    <author>tc={89c9da06-2bc3-4d33-bb5a-2ccf2f8c4e40}</author>
  </authors>
  <commentList>
    <comment authorId="0" xr:uid="{75be662c-fbb8-4ba7-ae09-0660cdb33561}" ref="B31">
      <text>
        <t xml:space="preserve">[Threaded comment]
 Your version of Excel allows you to read this threaded comment; however, any edits to it will get removed if the file is opened in a newer version of Excel. Learn more: https://go.microsoft.com/fwlink/?linkid=870924
Comment:
	One mechanic might work in a building with like 8-10 vehicles, so multiply their earnings by that.
</t>
      </text>
    </comment>
    <comment authorId="1" xr:uid="{89c9da06-2bc3-4d33-bb5a-2ccf2f8c4e40}" ref="D3">
      <text>
        <t xml:space="preserve">[Threaded comment]
 Your version of Excel allows you to read this threaded comment; however, any edits to it will get removed if the file is opened in a newer version of Excel. Learn more: https://go.microsoft.com/fwlink/?linkid=870924
Comment:
	Per visit, not per month
</t>
      </text>
    </comment>
  </commentList>
</comments>
</file>

<file path=xl/sharedStrings.xml><?xml version="1.0" encoding="utf-8"?>
<sst xmlns="http://schemas.openxmlformats.org/spreadsheetml/2006/main" count="275" uniqueCount="84">
  <si>
    <t>Control Panel</t>
  </si>
  <si>
    <t>Ex. Units</t>
  </si>
  <si>
    <t>Ex. Unit Price</t>
  </si>
  <si>
    <t>Ex. Units/Day</t>
  </si>
  <si>
    <t>Ex. COG</t>
  </si>
  <si>
    <t>Ex. COA</t>
  </si>
  <si>
    <t>Ex. COF</t>
  </si>
  <si>
    <t>Ex. Monthly Expenses</t>
  </si>
  <si>
    <t>PCB</t>
  </si>
  <si>
    <t>Employee Profit Share</t>
  </si>
  <si>
    <t>Dividends</t>
  </si>
  <si>
    <t>Annual Working Days</t>
  </si>
  <si>
    <t>Project Breakdown</t>
  </si>
  <si>
    <t>%</t>
  </si>
  <si>
    <t>$ Per Unit</t>
  </si>
  <si>
    <t>$ Project Total</t>
  </si>
  <si>
    <t>Profit Projections</t>
  </si>
  <si>
    <t>Operating Profit</t>
  </si>
  <si>
    <t xml:space="preserve"> </t>
  </si>
  <si>
    <t>Net Profit</t>
  </si>
  <si>
    <t>Parent Company Income</t>
  </si>
  <si>
    <t>Revenue</t>
  </si>
  <si>
    <t>Daily</t>
  </si>
  <si>
    <t>COG</t>
  </si>
  <si>
    <t>Weekly</t>
  </si>
  <si>
    <t>Gross Profit</t>
  </si>
  <si>
    <t>Monthly</t>
  </si>
  <si>
    <t>COA</t>
  </si>
  <si>
    <t>Quarterly</t>
  </si>
  <si>
    <t>COF</t>
  </si>
  <si>
    <t>Profit Share</t>
  </si>
  <si>
    <t>Annual</t>
  </si>
  <si>
    <t>PC Royalties</t>
  </si>
  <si>
    <t>Days to Complete</t>
  </si>
  <si>
    <t>Fulfillment</t>
  </si>
  <si>
    <t>Direct</t>
  </si>
  <si>
    <t>Position</t>
  </si>
  <si>
    <t>Task Points</t>
  </si>
  <si>
    <t>Pay-per-Unit</t>
  </si>
  <si>
    <t>Est. Total Points</t>
  </si>
  <si>
    <t>Est. Percentage</t>
  </si>
  <si>
    <t>Est. Daily Earnings</t>
  </si>
  <si>
    <t>Est. Weekly Earnings</t>
  </si>
  <si>
    <t>Est. Monthly Earnings.</t>
  </si>
  <si>
    <t>Est. PCB Earnings</t>
  </si>
  <si>
    <t>Est. Profit Share</t>
  </si>
  <si>
    <t>Est. Quarterly Earnings</t>
  </si>
  <si>
    <t>Est. Annual Earnings</t>
  </si>
  <si>
    <t>Est. Hourly Earnings</t>
  </si>
  <si>
    <t>Est. Max Headcount</t>
  </si>
  <si>
    <t>Function Lead</t>
  </si>
  <si>
    <t>Department Lead</t>
  </si>
  <si>
    <t>Project Lead</t>
  </si>
  <si>
    <t>Line Lead</t>
  </si>
  <si>
    <t>SMT Operators</t>
  </si>
  <si>
    <t>API Operators</t>
  </si>
  <si>
    <t>Assembly Operators</t>
  </si>
  <si>
    <t>Packaging Operators</t>
  </si>
  <si>
    <t>QA</t>
  </si>
  <si>
    <t>Totals</t>
  </si>
  <si>
    <t>Indirect</t>
  </si>
  <si>
    <t>Points-per-Unit</t>
  </si>
  <si>
    <t>Plant Lead</t>
  </si>
  <si>
    <t>Inbound Lead</t>
  </si>
  <si>
    <t>Outbound Lead</t>
  </si>
  <si>
    <t>Inbound Warehouse Laborers</t>
  </si>
  <si>
    <t>Outbound Warehouse Laborers</t>
  </si>
  <si>
    <t>Technician</t>
  </si>
  <si>
    <t>Engineer</t>
  </si>
  <si>
    <t>Facilities</t>
  </si>
  <si>
    <t>HR</t>
  </si>
  <si>
    <t>Pay-Per-Point</t>
  </si>
  <si>
    <t>Points</t>
  </si>
  <si>
    <t>Total</t>
  </si>
  <si>
    <t>Pool Tech</t>
  </si>
  <si>
    <t>Regional Lead</t>
  </si>
  <si>
    <t>Lead Tech</t>
  </si>
  <si>
    <t>Mechanic</t>
  </si>
  <si>
    <t>Process</t>
  </si>
  <si>
    <t>Check-In</t>
  </si>
  <si>
    <t>Online Repair</t>
  </si>
  <si>
    <t>Offline Repair</t>
  </si>
  <si>
    <t>Checkout</t>
  </si>
  <si>
    <t>Shop Lead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</si>
</sst>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6">
    <font>
      <sz val="10.0"/>
      <color rgb="FF000000"/>
      <name val="Arial"/>
      <scheme val="minor"/>
    </font>
    <font>
      <b/>
      <color theme="1"/>
      <name val="Arial"/>
      <scheme val="minor"/>
    </font>
    <font>
      <color theme="1"/>
      <name val="Arial"/>
      <scheme val="minor"/>
    </font>
    <font/>
    <font>
      <b/>
      <color theme="1"/>
      <name val="Arial"/>
    </font>
    <font>
      <color theme="1"/>
      <name val="Arial"/>
    </font>
  </fonts>
  <fills count="8">
    <fill>
      <patternFill patternType="none"/>
    </fill>
    <fill>
      <patternFill patternType="lightGray"/>
    </fill>
    <fill>
      <patternFill patternType="solid">
        <fgColor rgb="FFF3F3F3"/>
        <bgColor rgb="FFF3F3F3"/>
      </patternFill>
    </fill>
    <fill>
      <patternFill patternType="solid">
        <fgColor rgb="FFD9EAD3"/>
        <bgColor rgb="FFD9EAD3"/>
      </patternFill>
    </fill>
    <fill>
      <patternFill patternType="solid">
        <fgColor rgb="FFF4CCCC"/>
        <bgColor rgb="FFF4CCCC"/>
      </patternFill>
    </fill>
    <fill>
      <patternFill patternType="solid">
        <fgColor rgb="FFD9D2E9"/>
        <bgColor rgb="FFD9D2E9"/>
      </patternFill>
    </fill>
    <fill>
      <patternFill patternType="solid">
        <fgColor rgb="FFCFE2F3"/>
        <bgColor rgb="FFCFE2F3"/>
      </patternFill>
    </fill>
    <fill>
      <patternFill patternType="solid">
        <fgColor rgb="FFD0E0E3"/>
        <bgColor rgb="FFD0E0E3"/>
      </patternFill>
    </fill>
  </fills>
  <borders count="10">
    <border/>
    <border>
      <right style="medium">
        <color rgb="FF000000"/>
      </right>
      <bottom style="medium">
        <color rgb="FF000000"/>
      </bottom>
    </border>
    <border>
      <bottom style="medium">
        <color rgb="FF000000"/>
      </bottom>
    </border>
    <border>
      <right style="medium">
        <color rgb="FF000000"/>
      </right>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right style="medium">
        <color rgb="FF000000"/>
      </right>
      <top style="medium">
        <color rgb="FF000000"/>
      </top>
    </border>
    <border>
      <top style="medium">
        <color rgb="FF000000"/>
      </top>
    </border>
  </borders>
  <cellStyleXfs count="1">
    <xf borderId="0" fillId="0" fontId="0" numFmtId="0" applyAlignment="1" applyFont="1"/>
  </cellStyleXfs>
  <cellXfs count="36">
    <xf borderId="0" fillId="0" fontId="0" numFmtId="0" xfId="0" applyAlignment="1" applyFont="1">
      <alignment readingOrder="0" shrinkToFit="0" vertical="bottom" wrapText="0"/>
    </xf>
    <xf borderId="1" fillId="2" fontId="1" numFmtId="0" xfId="0" applyAlignment="1" applyBorder="1" applyFill="1" applyFont="1">
      <alignment readingOrder="0"/>
    </xf>
    <xf borderId="2" fillId="2" fontId="2" numFmtId="0" xfId="0" applyAlignment="1" applyBorder="1" applyFont="1">
      <alignment readingOrder="0"/>
    </xf>
    <xf borderId="0" fillId="0" fontId="2" numFmtId="0" xfId="0" applyFont="1"/>
    <xf borderId="0" fillId="3" fontId="2" numFmtId="0" xfId="0" applyAlignment="1" applyFill="1" applyFont="1">
      <alignment readingOrder="0"/>
    </xf>
    <xf borderId="0" fillId="3" fontId="2" numFmtId="164" xfId="0" applyAlignment="1" applyFont="1" applyNumberFormat="1">
      <alignment readingOrder="0"/>
    </xf>
    <xf borderId="0" fillId="3" fontId="2" numFmtId="10" xfId="0" applyAlignment="1" applyFont="1" applyNumberFormat="1">
      <alignment readingOrder="0"/>
    </xf>
    <xf borderId="0" fillId="0" fontId="2" numFmtId="10" xfId="0" applyFont="1" applyNumberFormat="1"/>
    <xf borderId="0" fillId="0" fontId="1" numFmtId="0" xfId="0" applyAlignment="1" applyFont="1">
      <alignment readingOrder="0"/>
    </xf>
    <xf borderId="3" fillId="2" fontId="2" numFmtId="0" xfId="0" applyAlignment="1" applyBorder="1" applyFont="1">
      <alignment readingOrder="0"/>
    </xf>
    <xf borderId="0" fillId="3" fontId="2" numFmtId="164" xfId="0" applyFont="1" applyNumberFormat="1"/>
    <xf borderId="0" fillId="4" fontId="2" numFmtId="10" xfId="0" applyFill="1" applyFont="1" applyNumberFormat="1"/>
    <xf borderId="0" fillId="4" fontId="2" numFmtId="164" xfId="0" applyFont="1" applyNumberFormat="1"/>
    <xf borderId="0" fillId="3" fontId="2" numFmtId="10" xfId="0" applyFont="1" applyNumberFormat="1"/>
    <xf borderId="0" fillId="5" fontId="2" numFmtId="164" xfId="0" applyFill="1" applyFont="1" applyNumberFormat="1"/>
    <xf borderId="0" fillId="5" fontId="2" numFmtId="10" xfId="0" applyFont="1" applyNumberFormat="1"/>
    <xf borderId="0" fillId="6" fontId="2" numFmtId="164" xfId="0" applyFill="1" applyFont="1" applyNumberFormat="1"/>
    <xf borderId="0" fillId="0" fontId="2" numFmtId="0" xfId="0" applyAlignment="1" applyFont="1">
      <alignment readingOrder="0"/>
    </xf>
    <xf borderId="0" fillId="6" fontId="2" numFmtId="10" xfId="0" applyFont="1" applyNumberFormat="1"/>
    <xf borderId="0" fillId="7" fontId="2" numFmtId="0" xfId="0" applyFill="1" applyFont="1"/>
    <xf borderId="0" fillId="0" fontId="1" numFmtId="0" xfId="0" applyAlignment="1" applyFont="1">
      <alignment horizontal="center" readingOrder="0"/>
    </xf>
    <xf borderId="4" fillId="0" fontId="1" numFmtId="0" xfId="0" applyAlignment="1" applyBorder="1" applyFont="1">
      <alignment horizontal="center" readingOrder="0"/>
    </xf>
    <xf borderId="5" fillId="0" fontId="3" numFmtId="0" xfId="0" applyBorder="1" applyFont="1"/>
    <xf borderId="6" fillId="0" fontId="3" numFmtId="0" xfId="0" applyBorder="1" applyFont="1"/>
    <xf borderId="7" fillId="0" fontId="4" numFmtId="0" xfId="0" applyAlignment="1" applyBorder="1" applyFont="1">
      <alignment readingOrder="0" vertical="bottom"/>
    </xf>
    <xf borderId="1" fillId="2" fontId="2" numFmtId="0" xfId="0" applyAlignment="1" applyBorder="1" applyFont="1">
      <alignment readingOrder="0"/>
    </xf>
    <xf borderId="3" fillId="2" fontId="5" numFmtId="0" xfId="0" applyAlignment="1" applyBorder="1" applyFont="1">
      <alignment readingOrder="0" vertical="bottom"/>
    </xf>
    <xf borderId="0" fillId="0" fontId="2" numFmtId="164" xfId="0" applyFont="1" applyNumberFormat="1"/>
    <xf borderId="0" fillId="0" fontId="2" numFmtId="0" xfId="0" applyFont="1"/>
    <xf borderId="0" fillId="3" fontId="2" numFmtId="3" xfId="0" applyFont="1" applyNumberFormat="1"/>
    <xf borderId="8" fillId="2" fontId="2" numFmtId="0" xfId="0" applyAlignment="1" applyBorder="1" applyFont="1">
      <alignment readingOrder="0"/>
    </xf>
    <xf borderId="9" fillId="0" fontId="2" numFmtId="0" xfId="0" applyBorder="1" applyFont="1"/>
    <xf borderId="9" fillId="0" fontId="2" numFmtId="164" xfId="0" applyBorder="1" applyFont="1" applyNumberFormat="1"/>
    <xf borderId="9" fillId="0" fontId="2" numFmtId="10" xfId="0" applyBorder="1" applyFont="1" applyNumberFormat="1"/>
    <xf borderId="0" fillId="0" fontId="5" numFmtId="0" xfId="0" applyAlignment="1" applyFont="1">
      <alignment readingOrder="0" vertical="bottom"/>
    </xf>
    <xf borderId="0" fillId="5"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Lyle Cole" id="{6f3e034d-d159-4fda-b591-4a252d1dac87}"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N3" dT="2025-10-02T20:44:31.00" personId="{6f3e034d-d159-4fda-b591-4a252d1dac87}" id="{6a1009de-b8bc-406a-8937-b9f39adbce48}" done="1">
    <x18tc:text xml:space="preserve">Standard at 5%</x18tc:text>
  </x18tc:threadedComment>
  <x18tc:threadedComment ref="J3" dT="2025-09-04T16:18:16.00" personId="{6f3e034d-d159-4fda-b591-4a252d1dac87}" id="{fc78d7ae-da4f-4e5d-a700-7bdbe6c19d4a}" done="0">
    <x18tc:text xml:space="preserve">With this iteration, the Project Completion Bonus is withheld until the project is completed, rather than being an extra bonus tacked on. Mostly just easier to calculate this way, and for anything that doesn't require it, it can just be set at 0%.</x18tc:text>
  </x18tc:threadedComment>
  <x18tc:threadedComment ref="K3" dT="2025-10-02T20:43:59.00" personId="{6f3e034d-d159-4fda-b591-4a252d1dac87}" id="{03e15c47-7f9d-47e9-bdc4-de96528af216}" done="0">
    <x18tc:text xml:space="preserve">Standard at 10-20%</x18tc:text>
  </x18tc:threadedComment>
  <x18tc:threadedComment ref="K3" dT="2025-10-02T20:44:01.00" personId="{6f3e034d-d159-4fda-b591-4a252d1dac87}" id="{23b26487-19a7-445f-8ea5-eea1815cb3a7}" parentId="{03e15c47-7f9d-47e9-bdc4-de96528af216}">
    <x18tc:text xml:space="preserve">Marked as resolved</x18tc:text>
  </x18tc:threadedComment>
  <x18tc:threadedComment ref="K3" dT="2025-10-02T20:44:11.00" personId="{6f3e034d-d159-4fda-b591-4a252d1dac87}" id="{70ecc876-55b8-4444-b345-c2643cb82b3c}" parentId="{03e15c47-7f9d-47e9-bdc4-de96528af216}">
    <x18tc:text xml:space="preserve">Re-opened</x18tc:text>
  </x18tc:threadedComment>
  <x18tc:threadedComment ref="N23" dT="2026-03-02T11:10:55.00" personId="{6f3e034d-d159-4fda-b591-4a252d1dac87}" id="{84ac0ece-21f7-4228-bd96-e49a4c405df4}" done="0">
    <x18tc:text xml:space="preserve">Based on an 8 hour work day</x18tc:text>
  </x18tc:threadedComment>
  <x18tc:threadedComment ref="L3" dT="2025-10-02T20:44:21.00" personId="{6f3e034d-d159-4fda-b591-4a252d1dac87}" id="{89b5915a-a892-475d-ade8-310e227c3869}" done="0">
    <x18tc:text xml:space="preserve">Standard at 20-30%</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3" dT="2025-09-07T20:00:21.00" personId="{6f3e034d-d159-4fda-b591-4a252d1dac87}" id="{89c9da06-2bc3-4d33-bb5a-2ccf2f8c4e40}" done="0">
    <x18tc:text xml:space="preserve">Per visit, not per month</x18tc:text>
  </x18tc:threadedComment>
  <x18tc:threadedComment ref="B31" dT="2025-09-07T19:38:45.00" personId="{6f3e034d-d159-4fda-b591-4a252d1dac87}" id="{75be662c-fbb8-4ba7-ae09-0660cdb33561}" done="0">
    <x18tc:text xml:space="preserve">One mechanic might work in a building with like 8-10 vehicles, so multiply their earnings by that.</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2.xml"/><Relationship Id="rId5"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13"/>
    <col customWidth="1" min="7" max="7" width="17.88"/>
    <col customWidth="1" min="8" max="8" width="13.75"/>
    <col customWidth="1" min="9" max="9" width="17.5"/>
    <col customWidth="1" min="10" max="10" width="13.63"/>
    <col customWidth="1" min="12" max="12" width="20.63"/>
    <col customWidth="1" min="13" max="13" width="17.0"/>
    <col customWidth="1" min="14" max="14" width="20.88"/>
    <col customWidth="1" min="15" max="15" width="16.0"/>
  </cols>
  <sheetData>
    <row r="2">
      <c r="B2" s="1" t="s">
        <v>0</v>
      </c>
      <c r="C2" s="2" t="s">
        <v>1</v>
      </c>
      <c r="D2" s="2" t="s">
        <v>2</v>
      </c>
      <c r="E2" s="2" t="s">
        <v>3</v>
      </c>
      <c r="F2" s="2" t="s">
        <v>4</v>
      </c>
      <c r="G2" s="2" t="s">
        <v>5</v>
      </c>
      <c r="H2" s="2" t="s">
        <v>6</v>
      </c>
      <c r="I2" s="2" t="s">
        <v>7</v>
      </c>
      <c r="J2" s="2" t="s">
        <v>8</v>
      </c>
      <c r="K2" s="2" t="s">
        <v>9</v>
      </c>
      <c r="L2" s="2" t="s">
        <v>10</v>
      </c>
      <c r="M2" s="2" t="s">
        <v>11</v>
      </c>
      <c r="N2" s="3"/>
    </row>
    <row r="3">
      <c r="C3" s="4">
        <v>10000.0</v>
      </c>
      <c r="D3" s="5">
        <v>100.0</v>
      </c>
      <c r="E3" s="4">
        <v>5000.0</v>
      </c>
      <c r="F3" s="6">
        <v>0.25</v>
      </c>
      <c r="G3" s="6">
        <v>0.2</v>
      </c>
      <c r="H3" s="6">
        <v>0.2</v>
      </c>
      <c r="I3" s="5">
        <v>100000.0</v>
      </c>
      <c r="J3" s="6">
        <v>0.25</v>
      </c>
      <c r="K3" s="6">
        <v>0.2</v>
      </c>
      <c r="L3" s="6">
        <v>0.0</v>
      </c>
      <c r="M3" s="4">
        <v>250.0</v>
      </c>
      <c r="N3" s="7"/>
    </row>
    <row r="5">
      <c r="B5" s="1" t="s">
        <v>12</v>
      </c>
      <c r="C5" s="2" t="s">
        <v>13</v>
      </c>
      <c r="D5" s="2" t="s">
        <v>14</v>
      </c>
      <c r="E5" s="2" t="s">
        <v>15</v>
      </c>
      <c r="G5" s="1" t="s">
        <v>16</v>
      </c>
      <c r="H5" s="1" t="s">
        <v>17</v>
      </c>
      <c r="I5" s="1" t="s">
        <v>18</v>
      </c>
      <c r="J5" s="1" t="s">
        <v>19</v>
      </c>
      <c r="L5" s="1" t="s">
        <v>20</v>
      </c>
      <c r="M5" s="1" t="s">
        <v>21</v>
      </c>
      <c r="N5" s="3"/>
      <c r="O5" s="8"/>
    </row>
    <row r="6">
      <c r="B6" s="9" t="s">
        <v>21</v>
      </c>
      <c r="C6" s="6">
        <v>1.0</v>
      </c>
      <c r="D6" s="10">
        <f>D3</f>
        <v>100</v>
      </c>
      <c r="E6" s="10">
        <f t="shared" ref="E6:E14" si="1">D6*$C$3</f>
        <v>1000000</v>
      </c>
      <c r="G6" s="9" t="s">
        <v>22</v>
      </c>
      <c r="H6" s="10">
        <f>H7/7</f>
        <v>134169.1411</v>
      </c>
      <c r="I6" s="9" t="s">
        <v>22</v>
      </c>
      <c r="J6" s="10">
        <f>J10/M3</f>
        <v>90160</v>
      </c>
      <c r="L6" s="9" t="s">
        <v>22</v>
      </c>
      <c r="M6" s="10">
        <f>E13/E17</f>
        <v>66000</v>
      </c>
      <c r="N6" s="3"/>
    </row>
    <row r="7">
      <c r="B7" s="9" t="s">
        <v>23</v>
      </c>
      <c r="C7" s="11">
        <f>F3</f>
        <v>0.25</v>
      </c>
      <c r="D7" s="12">
        <f>C7*D6</f>
        <v>25</v>
      </c>
      <c r="E7" s="12">
        <f t="shared" si="1"/>
        <v>250000</v>
      </c>
      <c r="G7" s="9" t="s">
        <v>24</v>
      </c>
      <c r="H7" s="10">
        <f>H8/4.33</f>
        <v>939183.9877</v>
      </c>
      <c r="I7" s="9" t="s">
        <v>24</v>
      </c>
      <c r="J7" s="10">
        <f>J6*5</f>
        <v>450800</v>
      </c>
      <c r="L7" s="9" t="s">
        <v>24</v>
      </c>
      <c r="M7" s="10">
        <f>M6*5</f>
        <v>330000</v>
      </c>
      <c r="N7" s="3"/>
    </row>
    <row r="8">
      <c r="B8" s="9" t="s">
        <v>25</v>
      </c>
      <c r="C8" s="13">
        <f>C6-C7</f>
        <v>0.75</v>
      </c>
      <c r="D8" s="10">
        <f t="shared" ref="D8:D14" si="2">C8*$D$3</f>
        <v>75</v>
      </c>
      <c r="E8" s="10">
        <f t="shared" si="1"/>
        <v>750000</v>
      </c>
      <c r="G8" s="9" t="s">
        <v>26</v>
      </c>
      <c r="H8" s="14">
        <f>(E12/E17*M3/12)-I3</f>
        <v>4066666.667</v>
      </c>
      <c r="I8" s="9" t="s">
        <v>26</v>
      </c>
      <c r="J8" s="10">
        <f>J9/3</f>
        <v>1878333.333</v>
      </c>
      <c r="L8" s="9" t="s">
        <v>26</v>
      </c>
      <c r="M8" s="14">
        <f>M10/12</f>
        <v>1375000</v>
      </c>
      <c r="N8" s="3"/>
    </row>
    <row r="9">
      <c r="B9" s="9" t="s">
        <v>27</v>
      </c>
      <c r="C9" s="15">
        <f>C6*G3</f>
        <v>0.2</v>
      </c>
      <c r="D9" s="14">
        <f t="shared" si="2"/>
        <v>20</v>
      </c>
      <c r="E9" s="14">
        <f t="shared" si="1"/>
        <v>200000</v>
      </c>
      <c r="G9" s="9" t="s">
        <v>28</v>
      </c>
      <c r="H9" s="10">
        <f>H8*3</f>
        <v>12200000</v>
      </c>
      <c r="I9" s="9" t="s">
        <v>28</v>
      </c>
      <c r="J9" s="10">
        <f>H9-H10-H11-M9</f>
        <v>5635000</v>
      </c>
      <c r="L9" s="9" t="s">
        <v>28</v>
      </c>
      <c r="M9" s="10">
        <f>M10/4</f>
        <v>4125000</v>
      </c>
      <c r="N9" s="3"/>
    </row>
    <row r="10">
      <c r="B10" s="9" t="s">
        <v>29</v>
      </c>
      <c r="C10" s="11">
        <f>C8*(H3*(1-J3))</f>
        <v>0.1125</v>
      </c>
      <c r="D10" s="12">
        <f t="shared" si="2"/>
        <v>11.25</v>
      </c>
      <c r="E10" s="12">
        <f t="shared" si="1"/>
        <v>112500</v>
      </c>
      <c r="G10" s="9" t="s">
        <v>30</v>
      </c>
      <c r="H10" s="12">
        <f>H9*K3</f>
        <v>2440000</v>
      </c>
      <c r="I10" s="9" t="s">
        <v>31</v>
      </c>
      <c r="J10" s="16">
        <f>J9*4</f>
        <v>22540000</v>
      </c>
      <c r="L10" s="9" t="s">
        <v>31</v>
      </c>
      <c r="M10" s="16">
        <f>M6*M3</f>
        <v>16500000</v>
      </c>
    </row>
    <row r="11">
      <c r="B11" s="9" t="s">
        <v>8</v>
      </c>
      <c r="C11" s="11">
        <f>C8*(H3*J3)</f>
        <v>0.0375</v>
      </c>
      <c r="D11" s="12">
        <f t="shared" si="2"/>
        <v>3.75</v>
      </c>
      <c r="E11" s="12">
        <f t="shared" si="1"/>
        <v>37500</v>
      </c>
      <c r="G11" s="9" t="s">
        <v>10</v>
      </c>
      <c r="H11" s="12">
        <f>H9*L3</f>
        <v>0</v>
      </c>
      <c r="L11" s="17"/>
      <c r="M11" s="3"/>
      <c r="Q11" s="17"/>
      <c r="R11" s="3"/>
    </row>
    <row r="12">
      <c r="B12" s="9" t="s">
        <v>17</v>
      </c>
      <c r="C12" s="13">
        <f>C8-C9-C10-C11</f>
        <v>0.4</v>
      </c>
      <c r="D12" s="10">
        <f t="shared" si="2"/>
        <v>40</v>
      </c>
      <c r="E12" s="10">
        <f t="shared" si="1"/>
        <v>400000</v>
      </c>
    </row>
    <row r="13">
      <c r="B13" s="9" t="s">
        <v>32</v>
      </c>
      <c r="C13" s="11">
        <f>MAX((C12*33%), 5%)</f>
        <v>0.132</v>
      </c>
      <c r="D13" s="12">
        <f t="shared" si="2"/>
        <v>13.2</v>
      </c>
      <c r="E13" s="12">
        <f t="shared" si="1"/>
        <v>132000</v>
      </c>
    </row>
    <row r="14">
      <c r="B14" s="9" t="s">
        <v>30</v>
      </c>
      <c r="C14" s="11">
        <f>K3*C12</f>
        <v>0.08</v>
      </c>
      <c r="D14" s="12">
        <f t="shared" si="2"/>
        <v>8</v>
      </c>
      <c r="E14" s="12">
        <f t="shared" si="1"/>
        <v>80000</v>
      </c>
    </row>
    <row r="15">
      <c r="B15" s="9" t="s">
        <v>19</v>
      </c>
      <c r="C15" s="18">
        <f>C12-C13-C14</f>
        <v>0.188</v>
      </c>
      <c r="D15" s="16">
        <f>C15*D3</f>
        <v>18.8</v>
      </c>
      <c r="E15" s="16">
        <f>C15*E6</f>
        <v>188000</v>
      </c>
    </row>
    <row r="17">
      <c r="D17" s="9" t="s">
        <v>33</v>
      </c>
      <c r="E17" s="19">
        <f>C3/E3</f>
        <v>2</v>
      </c>
    </row>
    <row r="18">
      <c r="C18" s="20"/>
      <c r="D18" s="20"/>
      <c r="E18" s="20"/>
      <c r="F18" s="20"/>
      <c r="G18" s="20"/>
      <c r="H18" s="20"/>
      <c r="I18" s="20"/>
    </row>
    <row r="19">
      <c r="C19" s="20"/>
      <c r="D19" s="20"/>
      <c r="E19" s="20"/>
      <c r="F19" s="20"/>
      <c r="G19" s="20"/>
      <c r="H19" s="20"/>
      <c r="I19" s="20"/>
    </row>
    <row r="20">
      <c r="C20" s="21" t="s">
        <v>34</v>
      </c>
      <c r="D20" s="22"/>
      <c r="E20" s="22"/>
      <c r="F20" s="22"/>
      <c r="G20" s="22"/>
      <c r="H20" s="22"/>
      <c r="I20" s="23"/>
    </row>
    <row r="21">
      <c r="B21" s="17"/>
      <c r="C21" s="17"/>
    </row>
    <row r="22">
      <c r="B22" s="24" t="s">
        <v>35</v>
      </c>
    </row>
    <row r="23">
      <c r="B23" s="25" t="s">
        <v>36</v>
      </c>
      <c r="C23" s="2" t="s">
        <v>37</v>
      </c>
      <c r="D23" s="2" t="s">
        <v>38</v>
      </c>
      <c r="E23" s="2" t="s">
        <v>39</v>
      </c>
      <c r="F23" s="2" t="s">
        <v>40</v>
      </c>
      <c r="G23" s="2" t="s">
        <v>41</v>
      </c>
      <c r="H23" s="2" t="s">
        <v>42</v>
      </c>
      <c r="I23" s="2" t="s">
        <v>43</v>
      </c>
      <c r="J23" s="2" t="s">
        <v>44</v>
      </c>
      <c r="K23" s="2" t="s">
        <v>45</v>
      </c>
      <c r="L23" s="2" t="s">
        <v>46</v>
      </c>
      <c r="M23" s="2" t="s">
        <v>47</v>
      </c>
      <c r="N23" s="2" t="s">
        <v>48</v>
      </c>
      <c r="O23" s="2" t="s">
        <v>49</v>
      </c>
    </row>
    <row r="24">
      <c r="B24" s="26" t="s">
        <v>50</v>
      </c>
      <c r="C24" s="17">
        <v>0.5</v>
      </c>
      <c r="D24" s="27">
        <f t="shared" ref="D24:D32" si="3">$D$50*C24</f>
        <v>0.4245283019</v>
      </c>
      <c r="E24" s="28">
        <f t="shared" ref="E24:E32" si="4">C24*$C$3</f>
        <v>5000</v>
      </c>
      <c r="F24" s="7">
        <f t="shared" ref="F24:F32" si="5">E24/$E$50</f>
        <v>0.03773584906</v>
      </c>
      <c r="G24" s="27">
        <f t="shared" ref="G24:G32" si="6">D24*$E$3+(J24/$E$17)</f>
        <v>2830.188679</v>
      </c>
      <c r="H24" s="27">
        <f t="shared" ref="H24:H32" si="7">G24*5</f>
        <v>14150.9434</v>
      </c>
      <c r="I24" s="27">
        <f t="shared" ref="I24:I32" si="8">G24*$M$3/12</f>
        <v>58962.26415</v>
      </c>
      <c r="J24" s="27">
        <f t="shared" ref="J24:J32" si="9">F24*$E$11</f>
        <v>1415.09434</v>
      </c>
      <c r="K24" s="27">
        <f t="shared" ref="K24:K32" si="10">F24*$H$10</f>
        <v>92075.4717</v>
      </c>
      <c r="L24" s="27">
        <f t="shared" ref="L24:L32" si="11">I24*3+K24</f>
        <v>268962.2642</v>
      </c>
      <c r="M24" s="27">
        <f t="shared" ref="M24:M32" si="12">L24*4</f>
        <v>1075849.057</v>
      </c>
      <c r="N24" s="10">
        <f t="shared" ref="N24:N33" si="13">M24/$M$3/8</f>
        <v>537.9245283</v>
      </c>
      <c r="O24" s="29">
        <f t="shared" ref="O24:O32" si="14">H24/1000</f>
        <v>14.1509434</v>
      </c>
    </row>
    <row r="25">
      <c r="B25" s="26" t="s">
        <v>51</v>
      </c>
      <c r="C25" s="17">
        <v>0.5</v>
      </c>
      <c r="D25" s="27">
        <f t="shared" si="3"/>
        <v>0.4245283019</v>
      </c>
      <c r="E25" s="28">
        <f t="shared" si="4"/>
        <v>5000</v>
      </c>
      <c r="F25" s="7">
        <f t="shared" si="5"/>
        <v>0.03773584906</v>
      </c>
      <c r="G25" s="27">
        <f t="shared" si="6"/>
        <v>2830.188679</v>
      </c>
      <c r="H25" s="27">
        <f t="shared" si="7"/>
        <v>14150.9434</v>
      </c>
      <c r="I25" s="27">
        <f t="shared" si="8"/>
        <v>58962.26415</v>
      </c>
      <c r="J25" s="27">
        <f t="shared" si="9"/>
        <v>1415.09434</v>
      </c>
      <c r="K25" s="27">
        <f t="shared" si="10"/>
        <v>92075.4717</v>
      </c>
      <c r="L25" s="27">
        <f t="shared" si="11"/>
        <v>268962.2642</v>
      </c>
      <c r="M25" s="27">
        <f t="shared" si="12"/>
        <v>1075849.057</v>
      </c>
      <c r="N25" s="10">
        <f t="shared" si="13"/>
        <v>537.9245283</v>
      </c>
      <c r="O25" s="29">
        <f t="shared" si="14"/>
        <v>14.1509434</v>
      </c>
    </row>
    <row r="26">
      <c r="B26" s="26" t="s">
        <v>52</v>
      </c>
      <c r="C26" s="17">
        <v>1.0</v>
      </c>
      <c r="D26" s="27">
        <f t="shared" si="3"/>
        <v>0.8490566038</v>
      </c>
      <c r="E26" s="28">
        <f t="shared" si="4"/>
        <v>10000</v>
      </c>
      <c r="F26" s="7">
        <f t="shared" si="5"/>
        <v>0.07547169811</v>
      </c>
      <c r="G26" s="27">
        <f t="shared" si="6"/>
        <v>5660.377358</v>
      </c>
      <c r="H26" s="27">
        <f t="shared" si="7"/>
        <v>28301.88679</v>
      </c>
      <c r="I26" s="27">
        <f t="shared" si="8"/>
        <v>117924.5283</v>
      </c>
      <c r="J26" s="27">
        <f t="shared" si="9"/>
        <v>2830.188679</v>
      </c>
      <c r="K26" s="27">
        <f t="shared" si="10"/>
        <v>184150.9434</v>
      </c>
      <c r="L26" s="27">
        <f t="shared" si="11"/>
        <v>537924.5283</v>
      </c>
      <c r="M26" s="27">
        <f t="shared" si="12"/>
        <v>2151698.113</v>
      </c>
      <c r="N26" s="10">
        <f t="shared" si="13"/>
        <v>1075.849057</v>
      </c>
      <c r="O26" s="29">
        <f t="shared" si="14"/>
        <v>28.30188679</v>
      </c>
    </row>
    <row r="27">
      <c r="B27" s="26" t="s">
        <v>53</v>
      </c>
      <c r="C27" s="17">
        <v>1.0</v>
      </c>
      <c r="D27" s="27">
        <f t="shared" si="3"/>
        <v>0.8490566038</v>
      </c>
      <c r="E27" s="28">
        <f t="shared" si="4"/>
        <v>10000</v>
      </c>
      <c r="F27" s="7">
        <f t="shared" si="5"/>
        <v>0.07547169811</v>
      </c>
      <c r="G27" s="27">
        <f t="shared" si="6"/>
        <v>5660.377358</v>
      </c>
      <c r="H27" s="27">
        <f t="shared" si="7"/>
        <v>28301.88679</v>
      </c>
      <c r="I27" s="27">
        <f t="shared" si="8"/>
        <v>117924.5283</v>
      </c>
      <c r="J27" s="27">
        <f t="shared" si="9"/>
        <v>2830.188679</v>
      </c>
      <c r="K27" s="27">
        <f t="shared" si="10"/>
        <v>184150.9434</v>
      </c>
      <c r="L27" s="27">
        <f t="shared" si="11"/>
        <v>537924.5283</v>
      </c>
      <c r="M27" s="27">
        <f t="shared" si="12"/>
        <v>2151698.113</v>
      </c>
      <c r="N27" s="10">
        <f t="shared" si="13"/>
        <v>1075.849057</v>
      </c>
      <c r="O27" s="29">
        <f t="shared" si="14"/>
        <v>28.30188679</v>
      </c>
    </row>
    <row r="28">
      <c r="B28" s="26" t="s">
        <v>54</v>
      </c>
      <c r="C28" s="17">
        <v>1.0</v>
      </c>
      <c r="D28" s="27">
        <f t="shared" si="3"/>
        <v>0.8490566038</v>
      </c>
      <c r="E28" s="28">
        <f t="shared" si="4"/>
        <v>10000</v>
      </c>
      <c r="F28" s="7">
        <f t="shared" si="5"/>
        <v>0.07547169811</v>
      </c>
      <c r="G28" s="27">
        <f t="shared" si="6"/>
        <v>5660.377358</v>
      </c>
      <c r="H28" s="27">
        <f t="shared" si="7"/>
        <v>28301.88679</v>
      </c>
      <c r="I28" s="27">
        <f t="shared" si="8"/>
        <v>117924.5283</v>
      </c>
      <c r="J28" s="27">
        <f t="shared" si="9"/>
        <v>2830.188679</v>
      </c>
      <c r="K28" s="27">
        <f t="shared" si="10"/>
        <v>184150.9434</v>
      </c>
      <c r="L28" s="27">
        <f t="shared" si="11"/>
        <v>537924.5283</v>
      </c>
      <c r="M28" s="27">
        <f t="shared" si="12"/>
        <v>2151698.113</v>
      </c>
      <c r="N28" s="10">
        <f t="shared" si="13"/>
        <v>1075.849057</v>
      </c>
      <c r="O28" s="29">
        <f t="shared" si="14"/>
        <v>28.30188679</v>
      </c>
    </row>
    <row r="29">
      <c r="B29" s="26" t="s">
        <v>55</v>
      </c>
      <c r="C29" s="17">
        <v>1.0</v>
      </c>
      <c r="D29" s="27">
        <f t="shared" si="3"/>
        <v>0.8490566038</v>
      </c>
      <c r="E29" s="28">
        <f t="shared" si="4"/>
        <v>10000</v>
      </c>
      <c r="F29" s="7">
        <f t="shared" si="5"/>
        <v>0.07547169811</v>
      </c>
      <c r="G29" s="27">
        <f t="shared" si="6"/>
        <v>5660.377358</v>
      </c>
      <c r="H29" s="27">
        <f t="shared" si="7"/>
        <v>28301.88679</v>
      </c>
      <c r="I29" s="27">
        <f t="shared" si="8"/>
        <v>117924.5283</v>
      </c>
      <c r="J29" s="27">
        <f t="shared" si="9"/>
        <v>2830.188679</v>
      </c>
      <c r="K29" s="27">
        <f t="shared" si="10"/>
        <v>184150.9434</v>
      </c>
      <c r="L29" s="27">
        <f t="shared" si="11"/>
        <v>537924.5283</v>
      </c>
      <c r="M29" s="27">
        <f t="shared" si="12"/>
        <v>2151698.113</v>
      </c>
      <c r="N29" s="10">
        <f t="shared" si="13"/>
        <v>1075.849057</v>
      </c>
      <c r="O29" s="29">
        <f t="shared" si="14"/>
        <v>28.30188679</v>
      </c>
    </row>
    <row r="30">
      <c r="B30" s="26" t="s">
        <v>56</v>
      </c>
      <c r="C30" s="17">
        <v>1.0</v>
      </c>
      <c r="D30" s="27">
        <f t="shared" si="3"/>
        <v>0.8490566038</v>
      </c>
      <c r="E30" s="28">
        <f t="shared" si="4"/>
        <v>10000</v>
      </c>
      <c r="F30" s="7">
        <f t="shared" si="5"/>
        <v>0.07547169811</v>
      </c>
      <c r="G30" s="27">
        <f t="shared" si="6"/>
        <v>5660.377358</v>
      </c>
      <c r="H30" s="27">
        <f t="shared" si="7"/>
        <v>28301.88679</v>
      </c>
      <c r="I30" s="27">
        <f t="shared" si="8"/>
        <v>117924.5283</v>
      </c>
      <c r="J30" s="27">
        <f t="shared" si="9"/>
        <v>2830.188679</v>
      </c>
      <c r="K30" s="27">
        <f t="shared" si="10"/>
        <v>184150.9434</v>
      </c>
      <c r="L30" s="27">
        <f t="shared" si="11"/>
        <v>537924.5283</v>
      </c>
      <c r="M30" s="27">
        <f t="shared" si="12"/>
        <v>2151698.113</v>
      </c>
      <c r="N30" s="10">
        <f t="shared" si="13"/>
        <v>1075.849057</v>
      </c>
      <c r="O30" s="29">
        <f t="shared" si="14"/>
        <v>28.30188679</v>
      </c>
    </row>
    <row r="31">
      <c r="B31" s="26" t="s">
        <v>57</v>
      </c>
      <c r="C31" s="17">
        <v>1.0</v>
      </c>
      <c r="D31" s="27">
        <f t="shared" si="3"/>
        <v>0.8490566038</v>
      </c>
      <c r="E31" s="28">
        <f t="shared" si="4"/>
        <v>10000</v>
      </c>
      <c r="F31" s="7">
        <f t="shared" si="5"/>
        <v>0.07547169811</v>
      </c>
      <c r="G31" s="27">
        <f t="shared" si="6"/>
        <v>5660.377358</v>
      </c>
      <c r="H31" s="27">
        <f t="shared" si="7"/>
        <v>28301.88679</v>
      </c>
      <c r="I31" s="27">
        <f t="shared" si="8"/>
        <v>117924.5283</v>
      </c>
      <c r="J31" s="27">
        <f t="shared" si="9"/>
        <v>2830.188679</v>
      </c>
      <c r="K31" s="27">
        <f t="shared" si="10"/>
        <v>184150.9434</v>
      </c>
      <c r="L31" s="27">
        <f t="shared" si="11"/>
        <v>537924.5283</v>
      </c>
      <c r="M31" s="27">
        <f t="shared" si="12"/>
        <v>2151698.113</v>
      </c>
      <c r="N31" s="10">
        <f t="shared" si="13"/>
        <v>1075.849057</v>
      </c>
      <c r="O31" s="29">
        <f t="shared" si="14"/>
        <v>28.30188679</v>
      </c>
    </row>
    <row r="32">
      <c r="B32" s="9" t="s">
        <v>58</v>
      </c>
      <c r="C32" s="17">
        <v>0.25</v>
      </c>
      <c r="D32" s="27">
        <f t="shared" si="3"/>
        <v>0.2122641509</v>
      </c>
      <c r="E32" s="28">
        <f t="shared" si="4"/>
        <v>2500</v>
      </c>
      <c r="F32" s="7">
        <f t="shared" si="5"/>
        <v>0.01886792453</v>
      </c>
      <c r="G32" s="27">
        <f t="shared" si="6"/>
        <v>1415.09434</v>
      </c>
      <c r="H32" s="27">
        <f t="shared" si="7"/>
        <v>7075.471698</v>
      </c>
      <c r="I32" s="27">
        <f t="shared" si="8"/>
        <v>29481.13208</v>
      </c>
      <c r="J32" s="27">
        <f t="shared" si="9"/>
        <v>707.5471698</v>
      </c>
      <c r="K32" s="27">
        <f t="shared" si="10"/>
        <v>46037.73585</v>
      </c>
      <c r="L32" s="27">
        <f t="shared" si="11"/>
        <v>134481.1321</v>
      </c>
      <c r="M32" s="27">
        <f t="shared" si="12"/>
        <v>537924.5283</v>
      </c>
      <c r="N32" s="10">
        <f t="shared" si="13"/>
        <v>268.9622642</v>
      </c>
      <c r="O32" s="29">
        <f t="shared" si="14"/>
        <v>7.075471698</v>
      </c>
    </row>
    <row r="33">
      <c r="B33" s="30" t="s">
        <v>59</v>
      </c>
      <c r="C33" s="31">
        <f t="shared" ref="C33:M33" si="15">SUM(C24:C32)</f>
        <v>7.25</v>
      </c>
      <c r="D33" s="32">
        <f t="shared" si="15"/>
        <v>6.155660377</v>
      </c>
      <c r="E33" s="31">
        <f t="shared" si="15"/>
        <v>72500</v>
      </c>
      <c r="F33" s="33">
        <f t="shared" si="15"/>
        <v>0.5471698113</v>
      </c>
      <c r="G33" s="32">
        <f t="shared" si="15"/>
        <v>41037.73585</v>
      </c>
      <c r="H33" s="32">
        <f t="shared" si="15"/>
        <v>205188.6792</v>
      </c>
      <c r="I33" s="32">
        <f t="shared" si="15"/>
        <v>854952.8302</v>
      </c>
      <c r="J33" s="32">
        <f t="shared" si="15"/>
        <v>20518.86792</v>
      </c>
      <c r="K33" s="32">
        <f t="shared" si="15"/>
        <v>1335094.34</v>
      </c>
      <c r="L33" s="32">
        <f t="shared" si="15"/>
        <v>3899952.83</v>
      </c>
      <c r="M33" s="32">
        <f t="shared" si="15"/>
        <v>15599811.32</v>
      </c>
      <c r="N33" s="32">
        <f t="shared" si="13"/>
        <v>7799.90566</v>
      </c>
      <c r="O33" s="32"/>
    </row>
    <row r="35">
      <c r="B35" s="24" t="s">
        <v>60</v>
      </c>
    </row>
    <row r="36">
      <c r="B36" s="25" t="s">
        <v>36</v>
      </c>
      <c r="C36" s="2" t="s">
        <v>61</v>
      </c>
      <c r="D36" s="2" t="s">
        <v>38</v>
      </c>
      <c r="E36" s="2" t="s">
        <v>39</v>
      </c>
      <c r="F36" s="2" t="s">
        <v>40</v>
      </c>
      <c r="G36" s="2" t="s">
        <v>41</v>
      </c>
      <c r="H36" s="2" t="s">
        <v>42</v>
      </c>
      <c r="I36" s="2" t="s">
        <v>43</v>
      </c>
      <c r="J36" s="2" t="s">
        <v>44</v>
      </c>
      <c r="K36" s="2" t="s">
        <v>45</v>
      </c>
      <c r="L36" s="2" t="s">
        <v>46</v>
      </c>
      <c r="M36" s="2" t="s">
        <v>47</v>
      </c>
    </row>
    <row r="37">
      <c r="B37" s="26" t="s">
        <v>62</v>
      </c>
      <c r="C37" s="17">
        <v>1.0</v>
      </c>
      <c r="D37" s="27">
        <f t="shared" ref="D37:D46" si="16">$D$50*C37</f>
        <v>0.8490566038</v>
      </c>
      <c r="E37" s="28">
        <f t="shared" ref="E37:E46" si="17">C37*$C$3</f>
        <v>10000</v>
      </c>
      <c r="F37" s="7">
        <f t="shared" ref="F37:F46" si="18">E37/$E$50</f>
        <v>0.07547169811</v>
      </c>
      <c r="G37" s="27">
        <f t="shared" ref="G37:G46" si="19">D37*$E$3+(J37/$E$17)</f>
        <v>5660.377358</v>
      </c>
      <c r="H37" s="27">
        <f t="shared" ref="H37:H46" si="20">G37*5</f>
        <v>28301.88679</v>
      </c>
      <c r="I37" s="27">
        <f t="shared" ref="I37:I46" si="21">G37*$M$3/12</f>
        <v>117924.5283</v>
      </c>
      <c r="J37" s="27">
        <f t="shared" ref="J37:J46" si="22">F37*$E$11</f>
        <v>2830.188679</v>
      </c>
      <c r="K37" s="27">
        <f t="shared" ref="K37:K46" si="23">F37*$H$10</f>
        <v>184150.9434</v>
      </c>
      <c r="L37" s="27">
        <f t="shared" ref="L37:L46" si="24">I37*3+K37</f>
        <v>537924.5283</v>
      </c>
      <c r="M37" s="27">
        <f t="shared" ref="M37:M46" si="25">L37*4</f>
        <v>2151698.113</v>
      </c>
    </row>
    <row r="38">
      <c r="B38" s="26" t="s">
        <v>50</v>
      </c>
      <c r="C38" s="17">
        <v>0.5</v>
      </c>
      <c r="D38" s="27">
        <f t="shared" si="16"/>
        <v>0.4245283019</v>
      </c>
      <c r="E38" s="28">
        <f t="shared" si="17"/>
        <v>5000</v>
      </c>
      <c r="F38" s="7">
        <f t="shared" si="18"/>
        <v>0.03773584906</v>
      </c>
      <c r="G38" s="27">
        <f t="shared" si="19"/>
        <v>2830.188679</v>
      </c>
      <c r="H38" s="27">
        <f t="shared" si="20"/>
        <v>14150.9434</v>
      </c>
      <c r="I38" s="27">
        <f t="shared" si="21"/>
        <v>58962.26415</v>
      </c>
      <c r="J38" s="27">
        <f t="shared" si="22"/>
        <v>1415.09434</v>
      </c>
      <c r="K38" s="27">
        <f t="shared" si="23"/>
        <v>92075.4717</v>
      </c>
      <c r="L38" s="27">
        <f t="shared" si="24"/>
        <v>268962.2642</v>
      </c>
      <c r="M38" s="27">
        <f t="shared" si="25"/>
        <v>1075849.057</v>
      </c>
    </row>
    <row r="39">
      <c r="B39" s="26" t="s">
        <v>63</v>
      </c>
      <c r="C39" s="17">
        <v>0.5</v>
      </c>
      <c r="D39" s="27">
        <f t="shared" si="16"/>
        <v>0.4245283019</v>
      </c>
      <c r="E39" s="28">
        <f t="shared" si="17"/>
        <v>5000</v>
      </c>
      <c r="F39" s="7">
        <f t="shared" si="18"/>
        <v>0.03773584906</v>
      </c>
      <c r="G39" s="27">
        <f t="shared" si="19"/>
        <v>2830.188679</v>
      </c>
      <c r="H39" s="27">
        <f t="shared" si="20"/>
        <v>14150.9434</v>
      </c>
      <c r="I39" s="27">
        <f t="shared" si="21"/>
        <v>58962.26415</v>
      </c>
      <c r="J39" s="27">
        <f t="shared" si="22"/>
        <v>1415.09434</v>
      </c>
      <c r="K39" s="27">
        <f t="shared" si="23"/>
        <v>92075.4717</v>
      </c>
      <c r="L39" s="27">
        <f t="shared" si="24"/>
        <v>268962.2642</v>
      </c>
      <c r="M39" s="27">
        <f t="shared" si="25"/>
        <v>1075849.057</v>
      </c>
    </row>
    <row r="40">
      <c r="B40" s="26" t="s">
        <v>64</v>
      </c>
      <c r="C40" s="17">
        <v>0.5</v>
      </c>
      <c r="D40" s="27">
        <f t="shared" si="16"/>
        <v>0.4245283019</v>
      </c>
      <c r="E40" s="28">
        <f t="shared" si="17"/>
        <v>5000</v>
      </c>
      <c r="F40" s="7">
        <f t="shared" si="18"/>
        <v>0.03773584906</v>
      </c>
      <c r="G40" s="27">
        <f t="shared" si="19"/>
        <v>2830.188679</v>
      </c>
      <c r="H40" s="27">
        <f t="shared" si="20"/>
        <v>14150.9434</v>
      </c>
      <c r="I40" s="27">
        <f t="shared" si="21"/>
        <v>58962.26415</v>
      </c>
      <c r="J40" s="27">
        <f t="shared" si="22"/>
        <v>1415.09434</v>
      </c>
      <c r="K40" s="27">
        <f t="shared" si="23"/>
        <v>92075.4717</v>
      </c>
      <c r="L40" s="27">
        <f t="shared" si="24"/>
        <v>268962.2642</v>
      </c>
      <c r="M40" s="27">
        <f t="shared" si="25"/>
        <v>1075849.057</v>
      </c>
    </row>
    <row r="41">
      <c r="B41" s="26" t="s">
        <v>65</v>
      </c>
      <c r="C41" s="17">
        <v>1.0</v>
      </c>
      <c r="D41" s="27">
        <f t="shared" si="16"/>
        <v>0.8490566038</v>
      </c>
      <c r="E41" s="28">
        <f t="shared" si="17"/>
        <v>10000</v>
      </c>
      <c r="F41" s="7">
        <f t="shared" si="18"/>
        <v>0.07547169811</v>
      </c>
      <c r="G41" s="27">
        <f t="shared" si="19"/>
        <v>5660.377358</v>
      </c>
      <c r="H41" s="27">
        <f t="shared" si="20"/>
        <v>28301.88679</v>
      </c>
      <c r="I41" s="27">
        <f t="shared" si="21"/>
        <v>117924.5283</v>
      </c>
      <c r="J41" s="27">
        <f t="shared" si="22"/>
        <v>2830.188679</v>
      </c>
      <c r="K41" s="27">
        <f t="shared" si="23"/>
        <v>184150.9434</v>
      </c>
      <c r="L41" s="27">
        <f t="shared" si="24"/>
        <v>537924.5283</v>
      </c>
      <c r="M41" s="27">
        <f t="shared" si="25"/>
        <v>2151698.113</v>
      </c>
    </row>
    <row r="42">
      <c r="B42" s="26" t="s">
        <v>66</v>
      </c>
      <c r="C42" s="17">
        <v>1.0</v>
      </c>
      <c r="D42" s="27">
        <f t="shared" si="16"/>
        <v>0.8490566038</v>
      </c>
      <c r="E42" s="28">
        <f t="shared" si="17"/>
        <v>10000</v>
      </c>
      <c r="F42" s="7">
        <f t="shared" si="18"/>
        <v>0.07547169811</v>
      </c>
      <c r="G42" s="27">
        <f t="shared" si="19"/>
        <v>5660.377358</v>
      </c>
      <c r="H42" s="27">
        <f t="shared" si="20"/>
        <v>28301.88679</v>
      </c>
      <c r="I42" s="27">
        <f t="shared" si="21"/>
        <v>117924.5283</v>
      </c>
      <c r="J42" s="27">
        <f t="shared" si="22"/>
        <v>2830.188679</v>
      </c>
      <c r="K42" s="27">
        <f t="shared" si="23"/>
        <v>184150.9434</v>
      </c>
      <c r="L42" s="27">
        <f t="shared" si="24"/>
        <v>537924.5283</v>
      </c>
      <c r="M42" s="27">
        <f t="shared" si="25"/>
        <v>2151698.113</v>
      </c>
    </row>
    <row r="43">
      <c r="B43" s="26" t="s">
        <v>67</v>
      </c>
      <c r="C43" s="17">
        <v>0.5</v>
      </c>
      <c r="D43" s="27">
        <f t="shared" si="16"/>
        <v>0.4245283019</v>
      </c>
      <c r="E43" s="28">
        <f t="shared" si="17"/>
        <v>5000</v>
      </c>
      <c r="F43" s="7">
        <f t="shared" si="18"/>
        <v>0.03773584906</v>
      </c>
      <c r="G43" s="27">
        <f t="shared" si="19"/>
        <v>2830.188679</v>
      </c>
      <c r="H43" s="27">
        <f t="shared" si="20"/>
        <v>14150.9434</v>
      </c>
      <c r="I43" s="27">
        <f t="shared" si="21"/>
        <v>58962.26415</v>
      </c>
      <c r="J43" s="27">
        <f t="shared" si="22"/>
        <v>1415.09434</v>
      </c>
      <c r="K43" s="27">
        <f t="shared" si="23"/>
        <v>92075.4717</v>
      </c>
      <c r="L43" s="27">
        <f t="shared" si="24"/>
        <v>268962.2642</v>
      </c>
      <c r="M43" s="27">
        <f t="shared" si="25"/>
        <v>1075849.057</v>
      </c>
    </row>
    <row r="44">
      <c r="B44" s="26" t="s">
        <v>68</v>
      </c>
      <c r="C44" s="17">
        <v>0.5</v>
      </c>
      <c r="D44" s="27">
        <f t="shared" si="16"/>
        <v>0.4245283019</v>
      </c>
      <c r="E44" s="28">
        <f t="shared" si="17"/>
        <v>5000</v>
      </c>
      <c r="F44" s="7">
        <f t="shared" si="18"/>
        <v>0.03773584906</v>
      </c>
      <c r="G44" s="27">
        <f t="shared" si="19"/>
        <v>2830.188679</v>
      </c>
      <c r="H44" s="27">
        <f t="shared" si="20"/>
        <v>14150.9434</v>
      </c>
      <c r="I44" s="27">
        <f t="shared" si="21"/>
        <v>58962.26415</v>
      </c>
      <c r="J44" s="27">
        <f t="shared" si="22"/>
        <v>1415.09434</v>
      </c>
      <c r="K44" s="27">
        <f t="shared" si="23"/>
        <v>92075.4717</v>
      </c>
      <c r="L44" s="27">
        <f t="shared" si="24"/>
        <v>268962.2642</v>
      </c>
      <c r="M44" s="27">
        <f t="shared" si="25"/>
        <v>1075849.057</v>
      </c>
    </row>
    <row r="45">
      <c r="B45" s="26" t="s">
        <v>69</v>
      </c>
      <c r="C45" s="17">
        <v>0.25</v>
      </c>
      <c r="D45" s="27">
        <f t="shared" si="16"/>
        <v>0.2122641509</v>
      </c>
      <c r="E45" s="28">
        <f t="shared" si="17"/>
        <v>2500</v>
      </c>
      <c r="F45" s="7">
        <f t="shared" si="18"/>
        <v>0.01886792453</v>
      </c>
      <c r="G45" s="27">
        <f t="shared" si="19"/>
        <v>1415.09434</v>
      </c>
      <c r="H45" s="27">
        <f t="shared" si="20"/>
        <v>7075.471698</v>
      </c>
      <c r="I45" s="27">
        <f t="shared" si="21"/>
        <v>29481.13208</v>
      </c>
      <c r="J45" s="27">
        <f t="shared" si="22"/>
        <v>707.5471698</v>
      </c>
      <c r="K45" s="27">
        <f t="shared" si="23"/>
        <v>46037.73585</v>
      </c>
      <c r="L45" s="27">
        <f t="shared" si="24"/>
        <v>134481.1321</v>
      </c>
      <c r="M45" s="27">
        <f t="shared" si="25"/>
        <v>537924.5283</v>
      </c>
    </row>
    <row r="46">
      <c r="B46" s="9" t="s">
        <v>70</v>
      </c>
      <c r="C46" s="17">
        <v>0.25</v>
      </c>
      <c r="D46" s="27">
        <f t="shared" si="16"/>
        <v>0.2122641509</v>
      </c>
      <c r="E46" s="28">
        <f t="shared" si="17"/>
        <v>2500</v>
      </c>
      <c r="F46" s="7">
        <f t="shared" si="18"/>
        <v>0.01886792453</v>
      </c>
      <c r="G46" s="27">
        <f t="shared" si="19"/>
        <v>1415.09434</v>
      </c>
      <c r="H46" s="27">
        <f t="shared" si="20"/>
        <v>7075.471698</v>
      </c>
      <c r="I46" s="27">
        <f t="shared" si="21"/>
        <v>29481.13208</v>
      </c>
      <c r="J46" s="27">
        <f t="shared" si="22"/>
        <v>707.5471698</v>
      </c>
      <c r="K46" s="27">
        <f t="shared" si="23"/>
        <v>46037.73585</v>
      </c>
      <c r="L46" s="27">
        <f t="shared" si="24"/>
        <v>134481.1321</v>
      </c>
      <c r="M46" s="27">
        <f t="shared" si="25"/>
        <v>537924.5283</v>
      </c>
    </row>
    <row r="47">
      <c r="B47" s="30" t="s">
        <v>59</v>
      </c>
      <c r="C47" s="31">
        <f t="shared" ref="C47:M47" si="26">SUM(C37:C46)</f>
        <v>6</v>
      </c>
      <c r="D47" s="32">
        <f t="shared" si="26"/>
        <v>5.094339623</v>
      </c>
      <c r="E47" s="31">
        <f t="shared" si="26"/>
        <v>60000</v>
      </c>
      <c r="F47" s="33">
        <f t="shared" si="26"/>
        <v>0.4528301887</v>
      </c>
      <c r="G47" s="32">
        <f t="shared" si="26"/>
        <v>33962.26415</v>
      </c>
      <c r="H47" s="32">
        <f t="shared" si="26"/>
        <v>169811.3208</v>
      </c>
      <c r="I47" s="32">
        <f t="shared" si="26"/>
        <v>707547.1698</v>
      </c>
      <c r="J47" s="32">
        <f t="shared" si="26"/>
        <v>16981.13208</v>
      </c>
      <c r="K47" s="32">
        <f t="shared" si="26"/>
        <v>1104905.66</v>
      </c>
      <c r="L47" s="32">
        <f t="shared" si="26"/>
        <v>3227547.17</v>
      </c>
      <c r="M47" s="32">
        <f t="shared" si="26"/>
        <v>12910188.68</v>
      </c>
    </row>
    <row r="49">
      <c r="C49" s="17" t="s">
        <v>61</v>
      </c>
      <c r="D49" s="17" t="s">
        <v>71</v>
      </c>
      <c r="E49" s="17" t="s">
        <v>72</v>
      </c>
    </row>
    <row r="50">
      <c r="B50" s="34" t="s">
        <v>73</v>
      </c>
      <c r="C50" s="19">
        <f>C33+C47</f>
        <v>13.25</v>
      </c>
      <c r="D50" s="10">
        <f>D10/C50</f>
        <v>0.8490566038</v>
      </c>
      <c r="E50" s="35">
        <f>E47+E33</f>
        <v>132500</v>
      </c>
    </row>
  </sheetData>
  <mergeCells count="1">
    <mergeCell ref="C20:I20"/>
  </mergeCells>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13"/>
    <col customWidth="1" min="7" max="7" width="14.88"/>
    <col customWidth="1" min="8" max="8" width="13.75"/>
    <col customWidth="1" min="9" max="9" width="17.5"/>
    <col customWidth="1" min="10" max="10" width="13.63"/>
    <col customWidth="1" min="12" max="12" width="20.63"/>
    <col customWidth="1" min="13" max="13" width="17.0"/>
    <col customWidth="1" min="14" max="14" width="20.88"/>
  </cols>
  <sheetData>
    <row r="2">
      <c r="B2" s="1" t="s">
        <v>0</v>
      </c>
      <c r="C2" s="2" t="s">
        <v>1</v>
      </c>
      <c r="D2" s="2" t="s">
        <v>2</v>
      </c>
      <c r="E2" s="2" t="s">
        <v>3</v>
      </c>
      <c r="F2" s="2" t="s">
        <v>4</v>
      </c>
      <c r="G2" s="2" t="s">
        <v>5</v>
      </c>
      <c r="H2" s="2" t="s">
        <v>6</v>
      </c>
      <c r="I2" s="2" t="s">
        <v>7</v>
      </c>
      <c r="J2" s="2" t="s">
        <v>8</v>
      </c>
      <c r="K2" s="2" t="s">
        <v>9</v>
      </c>
      <c r="L2" s="2" t="s">
        <v>10</v>
      </c>
      <c r="M2" s="2" t="s">
        <v>11</v>
      </c>
      <c r="N2" s="3"/>
    </row>
    <row r="3">
      <c r="C3" s="4">
        <v>75.0</v>
      </c>
      <c r="D3" s="5">
        <f>300/4.3</f>
        <v>69.76744186</v>
      </c>
      <c r="E3" s="4">
        <v>15.0</v>
      </c>
      <c r="F3" s="6">
        <v>0.1</v>
      </c>
      <c r="G3" s="6">
        <v>0.2</v>
      </c>
      <c r="H3" s="6">
        <v>0.3</v>
      </c>
      <c r="I3" s="5">
        <v>1000.0</v>
      </c>
      <c r="J3" s="6">
        <v>0.0</v>
      </c>
      <c r="K3" s="6">
        <v>0.2</v>
      </c>
      <c r="L3" s="6">
        <v>0.0</v>
      </c>
      <c r="M3" s="4">
        <v>250.0</v>
      </c>
      <c r="N3" s="7"/>
    </row>
    <row r="5">
      <c r="B5" s="1" t="s">
        <v>12</v>
      </c>
      <c r="C5" s="2" t="s">
        <v>13</v>
      </c>
      <c r="D5" s="2" t="s">
        <v>14</v>
      </c>
      <c r="E5" s="2" t="s">
        <v>15</v>
      </c>
      <c r="G5" s="1" t="s">
        <v>16</v>
      </c>
      <c r="H5" s="1" t="s">
        <v>17</v>
      </c>
      <c r="I5" s="1" t="s">
        <v>18</v>
      </c>
      <c r="J5" s="1" t="s">
        <v>19</v>
      </c>
      <c r="L5" s="1" t="s">
        <v>20</v>
      </c>
      <c r="M5" s="1" t="s">
        <v>21</v>
      </c>
      <c r="N5" s="3"/>
      <c r="O5" s="3"/>
    </row>
    <row r="6">
      <c r="B6" s="9" t="s">
        <v>21</v>
      </c>
      <c r="C6" s="6">
        <v>1.0</v>
      </c>
      <c r="D6" s="10">
        <f>D3</f>
        <v>69.76744186</v>
      </c>
      <c r="E6" s="10">
        <f t="shared" ref="E6:E14" si="1">D6*$C$3</f>
        <v>5232.55814</v>
      </c>
      <c r="G6" s="9" t="s">
        <v>22</v>
      </c>
      <c r="H6" s="10">
        <f>H7/7</f>
        <v>276.3114484</v>
      </c>
      <c r="I6" s="9" t="s">
        <v>22</v>
      </c>
      <c r="J6" s="10">
        <f>J10/M3</f>
        <v>173.1</v>
      </c>
      <c r="L6" s="9" t="s">
        <v>22</v>
      </c>
      <c r="M6" s="10">
        <f>E13/E17</f>
        <v>148.5</v>
      </c>
      <c r="N6" s="3"/>
      <c r="O6" s="27"/>
    </row>
    <row r="7">
      <c r="B7" s="9" t="s">
        <v>23</v>
      </c>
      <c r="C7" s="11">
        <f>F3</f>
        <v>0.1</v>
      </c>
      <c r="D7" s="12">
        <f>C7*D6</f>
        <v>6.976744186</v>
      </c>
      <c r="E7" s="12">
        <f t="shared" si="1"/>
        <v>523.255814</v>
      </c>
      <c r="G7" s="9" t="s">
        <v>24</v>
      </c>
      <c r="H7" s="10">
        <f>H8/4.33</f>
        <v>1934.180139</v>
      </c>
      <c r="I7" s="9" t="s">
        <v>24</v>
      </c>
      <c r="J7" s="10">
        <f>J6*5</f>
        <v>865.5</v>
      </c>
      <c r="L7" s="9" t="s">
        <v>24</v>
      </c>
      <c r="M7" s="10">
        <f>M6*5</f>
        <v>742.5</v>
      </c>
      <c r="N7" s="3"/>
      <c r="O7" s="27"/>
    </row>
    <row r="8">
      <c r="B8" s="9" t="s">
        <v>25</v>
      </c>
      <c r="C8" s="13">
        <f>C6-C7</f>
        <v>0.9</v>
      </c>
      <c r="D8" s="10">
        <f t="shared" ref="D8:D14" si="2">C8*$D$3</f>
        <v>62.79069767</v>
      </c>
      <c r="E8" s="10">
        <f t="shared" si="1"/>
        <v>4709.302326</v>
      </c>
      <c r="G8" s="9" t="s">
        <v>26</v>
      </c>
      <c r="H8" s="14">
        <f>(E12/E17*M3/12)-I3</f>
        <v>8375</v>
      </c>
      <c r="I8" s="9" t="s">
        <v>26</v>
      </c>
      <c r="J8" s="10">
        <f>J9/3</f>
        <v>3606.25</v>
      </c>
      <c r="L8" s="9" t="s">
        <v>26</v>
      </c>
      <c r="M8" s="14">
        <f>M10/12</f>
        <v>3093.75</v>
      </c>
      <c r="N8" s="3"/>
      <c r="O8" s="27"/>
    </row>
    <row r="9">
      <c r="B9" s="9" t="s">
        <v>27</v>
      </c>
      <c r="C9" s="15">
        <f>C6*G3</f>
        <v>0.2</v>
      </c>
      <c r="D9" s="14">
        <f t="shared" si="2"/>
        <v>13.95348837</v>
      </c>
      <c r="E9" s="14">
        <f t="shared" si="1"/>
        <v>1046.511628</v>
      </c>
      <c r="G9" s="9" t="s">
        <v>28</v>
      </c>
      <c r="H9" s="10">
        <f>H8*3</f>
        <v>25125</v>
      </c>
      <c r="I9" s="9" t="s">
        <v>28</v>
      </c>
      <c r="J9" s="10">
        <f>H9-H10-H11-M9</f>
        <v>10818.75</v>
      </c>
      <c r="L9" s="9" t="s">
        <v>28</v>
      </c>
      <c r="M9" s="10">
        <f>M10/4</f>
        <v>9281.25</v>
      </c>
      <c r="N9" s="3"/>
    </row>
    <row r="10">
      <c r="B10" s="9" t="s">
        <v>29</v>
      </c>
      <c r="C10" s="11">
        <f>C8*(H3*(1-J3))</f>
        <v>0.27</v>
      </c>
      <c r="D10" s="12">
        <f t="shared" si="2"/>
        <v>18.8372093</v>
      </c>
      <c r="E10" s="12">
        <f t="shared" si="1"/>
        <v>1412.790698</v>
      </c>
      <c r="G10" s="9" t="s">
        <v>30</v>
      </c>
      <c r="H10" s="12">
        <f>H9*K3</f>
        <v>5025</v>
      </c>
      <c r="I10" s="9" t="s">
        <v>31</v>
      </c>
      <c r="J10" s="16">
        <f>J9*4</f>
        <v>43275</v>
      </c>
      <c r="L10" s="9" t="s">
        <v>31</v>
      </c>
      <c r="M10" s="16">
        <f>M6*M3</f>
        <v>37125</v>
      </c>
    </row>
    <row r="11">
      <c r="B11" s="9" t="s">
        <v>8</v>
      </c>
      <c r="C11" s="11">
        <f>C8*(H3*J3)</f>
        <v>0</v>
      </c>
      <c r="D11" s="12">
        <f t="shared" si="2"/>
        <v>0</v>
      </c>
      <c r="E11" s="12">
        <f t="shared" si="1"/>
        <v>0</v>
      </c>
      <c r="G11" s="9" t="s">
        <v>10</v>
      </c>
      <c r="H11" s="12">
        <f>H9*L3</f>
        <v>0</v>
      </c>
      <c r="L11" s="17"/>
      <c r="M11" s="3"/>
    </row>
    <row r="12">
      <c r="B12" s="9" t="s">
        <v>17</v>
      </c>
      <c r="C12" s="13">
        <f>C8-C9-C10-C11</f>
        <v>0.43</v>
      </c>
      <c r="D12" s="10">
        <f t="shared" si="2"/>
        <v>30</v>
      </c>
      <c r="E12" s="10">
        <f t="shared" si="1"/>
        <v>2250</v>
      </c>
    </row>
    <row r="13">
      <c r="B13" s="9" t="s">
        <v>32</v>
      </c>
      <c r="C13" s="11">
        <f>MAX((C12*33%), 5%)</f>
        <v>0.1419</v>
      </c>
      <c r="D13" s="12">
        <f t="shared" si="2"/>
        <v>9.9</v>
      </c>
      <c r="E13" s="12">
        <f t="shared" si="1"/>
        <v>742.5</v>
      </c>
    </row>
    <row r="14">
      <c r="B14" s="9" t="s">
        <v>30</v>
      </c>
      <c r="C14" s="11">
        <f>K3*C12</f>
        <v>0.086</v>
      </c>
      <c r="D14" s="12">
        <f t="shared" si="2"/>
        <v>6</v>
      </c>
      <c r="E14" s="12">
        <f t="shared" si="1"/>
        <v>450</v>
      </c>
    </row>
    <row r="15">
      <c r="B15" s="9" t="s">
        <v>19</v>
      </c>
      <c r="C15" s="18">
        <f>C12-C13-C14</f>
        <v>0.2021</v>
      </c>
      <c r="D15" s="16">
        <f>C15*D3</f>
        <v>14.1</v>
      </c>
      <c r="E15" s="16">
        <f>C15*E6</f>
        <v>1057.5</v>
      </c>
    </row>
    <row r="17">
      <c r="D17" s="9" t="s">
        <v>33</v>
      </c>
      <c r="E17" s="19">
        <f>C3/E3</f>
        <v>5</v>
      </c>
    </row>
    <row r="20">
      <c r="C20" s="21" t="s">
        <v>34</v>
      </c>
      <c r="D20" s="22"/>
      <c r="E20" s="22"/>
      <c r="F20" s="22"/>
      <c r="G20" s="22"/>
      <c r="H20" s="22"/>
      <c r="I20" s="23"/>
    </row>
    <row r="21">
      <c r="B21" s="17"/>
      <c r="C21" s="17"/>
    </row>
    <row r="22">
      <c r="B22" s="24" t="s">
        <v>35</v>
      </c>
    </row>
    <row r="23">
      <c r="B23" s="25" t="s">
        <v>36</v>
      </c>
      <c r="C23" s="2" t="s">
        <v>61</v>
      </c>
      <c r="D23" s="2" t="s">
        <v>38</v>
      </c>
      <c r="E23" s="2" t="s">
        <v>39</v>
      </c>
      <c r="F23" s="2" t="s">
        <v>40</v>
      </c>
      <c r="G23" s="2" t="s">
        <v>41</v>
      </c>
      <c r="H23" s="2" t="s">
        <v>42</v>
      </c>
      <c r="I23" s="2" t="s">
        <v>43</v>
      </c>
      <c r="J23" s="2" t="s">
        <v>44</v>
      </c>
      <c r="K23" s="2" t="s">
        <v>45</v>
      </c>
      <c r="L23" s="2" t="s">
        <v>46</v>
      </c>
      <c r="M23" s="2" t="s">
        <v>47</v>
      </c>
    </row>
    <row r="24">
      <c r="B24" s="26" t="s">
        <v>74</v>
      </c>
      <c r="C24" s="4">
        <v>1.0</v>
      </c>
      <c r="D24" s="27">
        <f>$D$35*C24</f>
        <v>12.55813953</v>
      </c>
      <c r="E24" s="28">
        <f>C24*$C$3</f>
        <v>75</v>
      </c>
      <c r="F24" s="7">
        <f>E24/$E$35</f>
        <v>0.7142857143</v>
      </c>
      <c r="G24" s="27">
        <f>D24*$E$3+(J24/E17)</f>
        <v>188.372093</v>
      </c>
      <c r="H24" s="27">
        <f>G24*5</f>
        <v>941.8604651</v>
      </c>
      <c r="I24" s="27">
        <f>G24*$M$3/12</f>
        <v>3924.418605</v>
      </c>
      <c r="J24" s="27">
        <f>F24*$E$11</f>
        <v>0</v>
      </c>
      <c r="K24" s="27">
        <f>F24*$H$10</f>
        <v>3589.285714</v>
      </c>
      <c r="L24" s="27">
        <f>I24*3+K24</f>
        <v>15362.54153</v>
      </c>
      <c r="M24" s="27">
        <f>L24*4</f>
        <v>61450.16611</v>
      </c>
    </row>
    <row r="25">
      <c r="B25" s="30" t="s">
        <v>59</v>
      </c>
      <c r="C25" s="31">
        <f t="shared" ref="C25:M25" si="3">SUM(C24)</f>
        <v>1</v>
      </c>
      <c r="D25" s="32">
        <f t="shared" si="3"/>
        <v>12.55813953</v>
      </c>
      <c r="E25" s="31">
        <f t="shared" si="3"/>
        <v>75</v>
      </c>
      <c r="F25" s="33">
        <f t="shared" si="3"/>
        <v>0.7142857143</v>
      </c>
      <c r="G25" s="32">
        <f t="shared" si="3"/>
        <v>188.372093</v>
      </c>
      <c r="H25" s="32">
        <f t="shared" si="3"/>
        <v>941.8604651</v>
      </c>
      <c r="I25" s="32">
        <f t="shared" si="3"/>
        <v>3924.418605</v>
      </c>
      <c r="J25" s="32">
        <f t="shared" si="3"/>
        <v>0</v>
      </c>
      <c r="K25" s="32">
        <f t="shared" si="3"/>
        <v>3589.285714</v>
      </c>
      <c r="L25" s="32">
        <f t="shared" si="3"/>
        <v>15362.54153</v>
      </c>
      <c r="M25" s="32">
        <f t="shared" si="3"/>
        <v>61450.16611</v>
      </c>
    </row>
    <row r="27">
      <c r="B27" s="24" t="s">
        <v>60</v>
      </c>
    </row>
    <row r="28">
      <c r="B28" s="25" t="s">
        <v>36</v>
      </c>
      <c r="C28" s="2" t="s">
        <v>61</v>
      </c>
      <c r="D28" s="2" t="s">
        <v>38</v>
      </c>
      <c r="E28" s="2" t="s">
        <v>39</v>
      </c>
      <c r="F28" s="2" t="s">
        <v>40</v>
      </c>
      <c r="G28" s="2" t="s">
        <v>41</v>
      </c>
      <c r="H28" s="2" t="s">
        <v>42</v>
      </c>
      <c r="I28" s="2" t="s">
        <v>43</v>
      </c>
      <c r="J28" s="2" t="s">
        <v>44</v>
      </c>
      <c r="K28" s="2" t="s">
        <v>45</v>
      </c>
      <c r="L28" s="2" t="s">
        <v>46</v>
      </c>
      <c r="M28" s="2" t="s">
        <v>47</v>
      </c>
    </row>
    <row r="29">
      <c r="B29" s="26" t="s">
        <v>75</v>
      </c>
      <c r="C29" s="4">
        <v>0.1</v>
      </c>
      <c r="D29" s="27">
        <f t="shared" ref="D29:D31" si="4">$D$35*C29</f>
        <v>1.255813953</v>
      </c>
      <c r="E29" s="28">
        <f t="shared" ref="E29:E31" si="5">C29*$C$3</f>
        <v>7.5</v>
      </c>
      <c r="F29" s="7">
        <f t="shared" ref="F29:F31" si="6">E29/$E$35</f>
        <v>0.07142857143</v>
      </c>
      <c r="G29" s="27">
        <f t="shared" ref="G29:G31" si="7">D29*$E$3</f>
        <v>18.8372093</v>
      </c>
      <c r="H29" s="27">
        <f t="shared" ref="H29:H31" si="8">G29*5</f>
        <v>94.18604651</v>
      </c>
      <c r="I29" s="27">
        <f t="shared" ref="I29:I31" si="9">G29*$M$3/12</f>
        <v>392.4418605</v>
      </c>
      <c r="J29" s="27">
        <f t="shared" ref="J29:J31" si="10">F29*$E$11</f>
        <v>0</v>
      </c>
      <c r="K29" s="27">
        <f t="shared" ref="K29:K31" si="11">F29*$H$10</f>
        <v>358.9285714</v>
      </c>
      <c r="L29" s="27">
        <f t="shared" ref="L29:L31" si="12">I29*3+K29</f>
        <v>1536.254153</v>
      </c>
      <c r="M29" s="27">
        <f t="shared" ref="M29:M31" si="13">L29*4</f>
        <v>6145.016611</v>
      </c>
      <c r="N29" s="27">
        <f t="shared" ref="N29:N30" si="14">M29*10</f>
        <v>61450.16611</v>
      </c>
    </row>
    <row r="30">
      <c r="B30" s="26" t="s">
        <v>76</v>
      </c>
      <c r="C30" s="4">
        <v>0.2</v>
      </c>
      <c r="D30" s="27">
        <f t="shared" si="4"/>
        <v>2.511627907</v>
      </c>
      <c r="E30" s="28">
        <f t="shared" si="5"/>
        <v>15</v>
      </c>
      <c r="F30" s="7">
        <f t="shared" si="6"/>
        <v>0.1428571429</v>
      </c>
      <c r="G30" s="27">
        <f t="shared" si="7"/>
        <v>37.6744186</v>
      </c>
      <c r="H30" s="27">
        <f t="shared" si="8"/>
        <v>188.372093</v>
      </c>
      <c r="I30" s="27">
        <f t="shared" si="9"/>
        <v>784.8837209</v>
      </c>
      <c r="J30" s="27">
        <f t="shared" si="10"/>
        <v>0</v>
      </c>
      <c r="K30" s="27">
        <f t="shared" si="11"/>
        <v>717.8571429</v>
      </c>
      <c r="L30" s="27">
        <f t="shared" si="12"/>
        <v>3072.508306</v>
      </c>
      <c r="M30" s="27">
        <f t="shared" si="13"/>
        <v>12290.03322</v>
      </c>
      <c r="N30" s="27">
        <f t="shared" si="14"/>
        <v>122900.3322</v>
      </c>
    </row>
    <row r="31">
      <c r="B31" s="26" t="s">
        <v>77</v>
      </c>
      <c r="C31" s="4">
        <v>0.2</v>
      </c>
      <c r="D31" s="27">
        <f t="shared" si="4"/>
        <v>2.511627907</v>
      </c>
      <c r="E31" s="28">
        <f t="shared" si="5"/>
        <v>15</v>
      </c>
      <c r="F31" s="7">
        <f t="shared" si="6"/>
        <v>0.1428571429</v>
      </c>
      <c r="G31" s="27">
        <f t="shared" si="7"/>
        <v>37.6744186</v>
      </c>
      <c r="H31" s="27">
        <f t="shared" si="8"/>
        <v>188.372093</v>
      </c>
      <c r="I31" s="27">
        <f t="shared" si="9"/>
        <v>784.8837209</v>
      </c>
      <c r="J31" s="27">
        <f t="shared" si="10"/>
        <v>0</v>
      </c>
      <c r="K31" s="27">
        <f t="shared" si="11"/>
        <v>717.8571429</v>
      </c>
      <c r="L31" s="27">
        <f t="shared" si="12"/>
        <v>3072.508306</v>
      </c>
      <c r="M31" s="27">
        <f t="shared" si="13"/>
        <v>12290.03322</v>
      </c>
    </row>
    <row r="32">
      <c r="B32" s="30" t="s">
        <v>59</v>
      </c>
      <c r="C32" s="31">
        <f>SUM(C29:C31)</f>
        <v>0.5</v>
      </c>
      <c r="D32" s="32">
        <f t="shared" ref="D32:M32" si="15">SUM(D30:D31)</f>
        <v>5.023255814</v>
      </c>
      <c r="E32" s="31">
        <f t="shared" si="15"/>
        <v>30</v>
      </c>
      <c r="F32" s="33">
        <f t="shared" si="15"/>
        <v>0.2857142857</v>
      </c>
      <c r="G32" s="32">
        <f t="shared" si="15"/>
        <v>75.34883721</v>
      </c>
      <c r="H32" s="32">
        <f t="shared" si="15"/>
        <v>376.744186</v>
      </c>
      <c r="I32" s="32">
        <f t="shared" si="15"/>
        <v>1569.767442</v>
      </c>
      <c r="J32" s="32">
        <f t="shared" si="15"/>
        <v>0</v>
      </c>
      <c r="K32" s="32">
        <f t="shared" si="15"/>
        <v>1435.714286</v>
      </c>
      <c r="L32" s="32">
        <f t="shared" si="15"/>
        <v>6145.016611</v>
      </c>
      <c r="M32" s="32">
        <f t="shared" si="15"/>
        <v>24580.06645</v>
      </c>
    </row>
    <row r="34">
      <c r="C34" s="17" t="s">
        <v>61</v>
      </c>
      <c r="D34" s="17" t="s">
        <v>71</v>
      </c>
      <c r="E34" s="17" t="s">
        <v>72</v>
      </c>
    </row>
    <row r="35">
      <c r="B35" s="34" t="s">
        <v>73</v>
      </c>
      <c r="C35" s="19">
        <f>C25+C32</f>
        <v>1.5</v>
      </c>
      <c r="D35" s="10">
        <f>D10/C35</f>
        <v>12.55813953</v>
      </c>
      <c r="E35" s="35">
        <f>E32+E25</f>
        <v>105</v>
      </c>
    </row>
  </sheetData>
  <mergeCells count="1">
    <mergeCell ref="C20:I20"/>
  </mergeCells>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13"/>
    <col customWidth="1" min="7" max="7" width="14.88"/>
    <col customWidth="1" min="8" max="8" width="13.75"/>
    <col customWidth="1" min="9" max="9" width="17.5"/>
    <col customWidth="1" min="10" max="10" width="13.63"/>
    <col customWidth="1" min="12" max="12" width="20.63"/>
    <col customWidth="1" min="13" max="13" width="17.0"/>
    <col customWidth="1" min="14" max="14" width="20.88"/>
  </cols>
  <sheetData>
    <row r="2">
      <c r="B2" s="1" t="s">
        <v>0</v>
      </c>
      <c r="C2" s="2" t="s">
        <v>1</v>
      </c>
      <c r="D2" s="2" t="s">
        <v>2</v>
      </c>
      <c r="E2" s="2" t="s">
        <v>3</v>
      </c>
      <c r="F2" s="2" t="s">
        <v>4</v>
      </c>
      <c r="G2" s="2" t="s">
        <v>5</v>
      </c>
      <c r="H2" s="2" t="s">
        <v>6</v>
      </c>
      <c r="I2" s="2" t="s">
        <v>7</v>
      </c>
      <c r="J2" s="2" t="s">
        <v>8</v>
      </c>
      <c r="K2" s="2" t="s">
        <v>9</v>
      </c>
      <c r="L2" s="2" t="s">
        <v>10</v>
      </c>
      <c r="M2" s="2" t="s">
        <v>11</v>
      </c>
      <c r="N2" s="3"/>
    </row>
    <row r="3">
      <c r="C3" s="4">
        <v>6.0</v>
      </c>
      <c r="D3" s="5">
        <v>300.0</v>
      </c>
      <c r="E3" s="4">
        <v>6.0</v>
      </c>
      <c r="F3" s="6">
        <v>0.5</v>
      </c>
      <c r="G3" s="6">
        <v>0.0</v>
      </c>
      <c r="H3" s="6">
        <v>0.2</v>
      </c>
      <c r="I3" s="5">
        <v>2000.0</v>
      </c>
      <c r="J3" s="6">
        <v>0.0</v>
      </c>
      <c r="K3" s="6">
        <v>0.2</v>
      </c>
      <c r="L3" s="6">
        <v>0.0</v>
      </c>
      <c r="M3" s="4">
        <v>250.0</v>
      </c>
      <c r="N3" s="7"/>
    </row>
    <row r="5">
      <c r="B5" s="1" t="s">
        <v>12</v>
      </c>
      <c r="C5" s="2" t="s">
        <v>13</v>
      </c>
      <c r="D5" s="2" t="s">
        <v>14</v>
      </c>
      <c r="E5" s="2" t="s">
        <v>15</v>
      </c>
      <c r="G5" s="1" t="s">
        <v>16</v>
      </c>
      <c r="H5" s="1" t="s">
        <v>17</v>
      </c>
      <c r="I5" s="1" t="s">
        <v>18</v>
      </c>
      <c r="J5" s="1" t="s">
        <v>19</v>
      </c>
      <c r="L5" s="1" t="s">
        <v>20</v>
      </c>
      <c r="M5" s="1" t="s">
        <v>21</v>
      </c>
      <c r="N5" s="3"/>
      <c r="O5" s="3"/>
    </row>
    <row r="6">
      <c r="B6" s="9" t="s">
        <v>21</v>
      </c>
      <c r="C6" s="6">
        <v>1.0</v>
      </c>
      <c r="D6" s="10">
        <f>D3</f>
        <v>300</v>
      </c>
      <c r="E6" s="10">
        <f t="shared" ref="E6:E14" si="1">D6*$C$3</f>
        <v>1800</v>
      </c>
      <c r="G6" s="9" t="s">
        <v>26</v>
      </c>
      <c r="H6" s="14">
        <f>(E12/E17*M3/12)-I3</f>
        <v>13000</v>
      </c>
      <c r="I6" s="9" t="s">
        <v>22</v>
      </c>
      <c r="J6" s="10">
        <f>J10/M3</f>
        <v>261.6</v>
      </c>
      <c r="L6" s="9" t="s">
        <v>22</v>
      </c>
      <c r="M6" s="10">
        <f>E13/E17</f>
        <v>237.6</v>
      </c>
      <c r="N6" s="3"/>
      <c r="O6" s="27"/>
    </row>
    <row r="7">
      <c r="B7" s="9" t="s">
        <v>23</v>
      </c>
      <c r="C7" s="11">
        <f>F3</f>
        <v>0.5</v>
      </c>
      <c r="D7" s="12">
        <f>C7*D6</f>
        <v>150</v>
      </c>
      <c r="E7" s="12">
        <f t="shared" si="1"/>
        <v>900</v>
      </c>
      <c r="G7" s="9" t="s">
        <v>28</v>
      </c>
      <c r="H7" s="10">
        <f>H6*3</f>
        <v>39000</v>
      </c>
      <c r="I7" s="9" t="s">
        <v>24</v>
      </c>
      <c r="J7" s="10">
        <f>J6*5</f>
        <v>1308</v>
      </c>
      <c r="L7" s="9" t="s">
        <v>24</v>
      </c>
      <c r="M7" s="10">
        <f>M6*5</f>
        <v>1188</v>
      </c>
      <c r="N7" s="3"/>
      <c r="O7" s="27"/>
    </row>
    <row r="8">
      <c r="B8" s="9" t="s">
        <v>25</v>
      </c>
      <c r="C8" s="13">
        <f>C6-C7</f>
        <v>0.5</v>
      </c>
      <c r="D8" s="10">
        <f t="shared" ref="D8:D14" si="2">C8*$D$3</f>
        <v>150</v>
      </c>
      <c r="E8" s="10">
        <f t="shared" si="1"/>
        <v>900</v>
      </c>
      <c r="G8" s="9" t="s">
        <v>30</v>
      </c>
      <c r="H8" s="12">
        <f>H7*K3</f>
        <v>7800</v>
      </c>
      <c r="I8" s="9" t="s">
        <v>26</v>
      </c>
      <c r="J8" s="10">
        <f>J9/3</f>
        <v>5450</v>
      </c>
      <c r="L8" s="9" t="s">
        <v>26</v>
      </c>
      <c r="M8" s="14">
        <f>M10/12</f>
        <v>4950</v>
      </c>
      <c r="N8" s="3"/>
      <c r="O8" s="27"/>
    </row>
    <row r="9">
      <c r="B9" s="9" t="s">
        <v>27</v>
      </c>
      <c r="C9" s="15">
        <f>C6*G3</f>
        <v>0</v>
      </c>
      <c r="D9" s="14">
        <f t="shared" si="2"/>
        <v>0</v>
      </c>
      <c r="E9" s="14">
        <f t="shared" si="1"/>
        <v>0</v>
      </c>
      <c r="G9" s="9" t="s">
        <v>10</v>
      </c>
      <c r="H9" s="12">
        <f>H7*L3</f>
        <v>0</v>
      </c>
      <c r="I9" s="9" t="s">
        <v>28</v>
      </c>
      <c r="J9" s="10">
        <f>H7-H8-H9-M9</f>
        <v>16350</v>
      </c>
      <c r="L9" s="9" t="s">
        <v>28</v>
      </c>
      <c r="M9" s="10">
        <f>M10/4</f>
        <v>14850</v>
      </c>
      <c r="N9" s="3"/>
    </row>
    <row r="10">
      <c r="B10" s="9" t="s">
        <v>29</v>
      </c>
      <c r="C10" s="11">
        <f>C8*(H3*(1-J3))</f>
        <v>0.1</v>
      </c>
      <c r="D10" s="12">
        <f t="shared" si="2"/>
        <v>30</v>
      </c>
      <c r="E10" s="12">
        <f t="shared" si="1"/>
        <v>180</v>
      </c>
      <c r="I10" s="9" t="s">
        <v>31</v>
      </c>
      <c r="J10" s="16">
        <f>J9*4</f>
        <v>65400</v>
      </c>
      <c r="L10" s="9" t="s">
        <v>31</v>
      </c>
      <c r="M10" s="16">
        <f>M6*M3</f>
        <v>59400</v>
      </c>
    </row>
    <row r="11">
      <c r="B11" s="9" t="s">
        <v>8</v>
      </c>
      <c r="C11" s="11">
        <f>C8*(H3*J3)</f>
        <v>0</v>
      </c>
      <c r="D11" s="12">
        <f t="shared" si="2"/>
        <v>0</v>
      </c>
      <c r="E11" s="12">
        <f t="shared" si="1"/>
        <v>0</v>
      </c>
      <c r="L11" s="17"/>
      <c r="M11" s="3"/>
    </row>
    <row r="12">
      <c r="B12" s="9" t="s">
        <v>17</v>
      </c>
      <c r="C12" s="13">
        <f>C8-C9-C10-C11</f>
        <v>0.4</v>
      </c>
      <c r="D12" s="10">
        <f t="shared" si="2"/>
        <v>120</v>
      </c>
      <c r="E12" s="10">
        <f t="shared" si="1"/>
        <v>720</v>
      </c>
    </row>
    <row r="13">
      <c r="B13" s="9" t="s">
        <v>32</v>
      </c>
      <c r="C13" s="11">
        <f>MAX((C12*33%), 5%)</f>
        <v>0.132</v>
      </c>
      <c r="D13" s="12">
        <f t="shared" si="2"/>
        <v>39.6</v>
      </c>
      <c r="E13" s="12">
        <f t="shared" si="1"/>
        <v>237.6</v>
      </c>
    </row>
    <row r="14">
      <c r="B14" s="9" t="s">
        <v>30</v>
      </c>
      <c r="C14" s="11">
        <f>K3*C12</f>
        <v>0.08</v>
      </c>
      <c r="D14" s="12">
        <f t="shared" si="2"/>
        <v>24</v>
      </c>
      <c r="E14" s="12">
        <f t="shared" si="1"/>
        <v>144</v>
      </c>
    </row>
    <row r="15">
      <c r="B15" s="9" t="s">
        <v>19</v>
      </c>
      <c r="C15" s="18">
        <f>C12-C13-C14</f>
        <v>0.188</v>
      </c>
      <c r="D15" s="16">
        <f>C15*D3</f>
        <v>56.4</v>
      </c>
      <c r="E15" s="16">
        <f>C15*E6</f>
        <v>338.4</v>
      </c>
    </row>
    <row r="17">
      <c r="D17" s="9" t="s">
        <v>33</v>
      </c>
      <c r="E17" s="19">
        <f>C3/E3</f>
        <v>1</v>
      </c>
    </row>
    <row r="20">
      <c r="C20" s="21" t="s">
        <v>34</v>
      </c>
      <c r="D20" s="22"/>
      <c r="E20" s="22"/>
      <c r="F20" s="22"/>
      <c r="G20" s="22"/>
      <c r="H20" s="22"/>
      <c r="I20" s="23"/>
    </row>
    <row r="21">
      <c r="B21" s="17"/>
      <c r="C21" s="17"/>
    </row>
    <row r="22">
      <c r="B22" s="24" t="s">
        <v>35</v>
      </c>
    </row>
    <row r="23">
      <c r="B23" s="25" t="s">
        <v>78</v>
      </c>
      <c r="C23" s="2" t="s">
        <v>61</v>
      </c>
      <c r="D23" s="2" t="s">
        <v>38</v>
      </c>
      <c r="E23" s="2" t="s">
        <v>39</v>
      </c>
      <c r="F23" s="2" t="s">
        <v>40</v>
      </c>
      <c r="G23" s="2" t="s">
        <v>41</v>
      </c>
      <c r="H23" s="2" t="s">
        <v>42</v>
      </c>
      <c r="I23" s="2" t="s">
        <v>43</v>
      </c>
      <c r="J23" s="2" t="s">
        <v>44</v>
      </c>
      <c r="K23" s="2" t="s">
        <v>45</v>
      </c>
      <c r="L23" s="2" t="s">
        <v>46</v>
      </c>
      <c r="M23" s="2" t="s">
        <v>47</v>
      </c>
    </row>
    <row r="24">
      <c r="B24" s="26" t="s">
        <v>79</v>
      </c>
      <c r="C24" s="4">
        <v>0.25</v>
      </c>
      <c r="D24" s="27">
        <f t="shared" ref="D24:D27" si="3">$D$37*C24</f>
        <v>3.333333333</v>
      </c>
      <c r="E24" s="28">
        <f t="shared" ref="E24:E27" si="4">C24*$C$3</f>
        <v>1.5</v>
      </c>
      <c r="F24" s="7">
        <f t="shared" ref="F24:F27" si="5">E24/$E$37</f>
        <v>0.1111111111</v>
      </c>
      <c r="G24" s="27">
        <f t="shared" ref="G24:G27" si="6">D24*$E$3+(J24/$E$17)</f>
        <v>20</v>
      </c>
      <c r="H24" s="27">
        <f t="shared" ref="H24:H27" si="7">G24*5</f>
        <v>100</v>
      </c>
      <c r="I24" s="27">
        <f t="shared" ref="I24:I27" si="8">G24*$M$3/12</f>
        <v>416.6666667</v>
      </c>
      <c r="J24" s="27">
        <f t="shared" ref="J24:J27" si="9">F24*$E$11</f>
        <v>0</v>
      </c>
      <c r="K24" s="27">
        <f t="shared" ref="K24:K27" si="10">F24*$H$8</f>
        <v>866.6666667</v>
      </c>
      <c r="L24" s="27">
        <f t="shared" ref="L24:L27" si="11">I24*3+K24</f>
        <v>2116.666667</v>
      </c>
      <c r="M24" s="27">
        <f t="shared" ref="M24:M27" si="12">L24*4</f>
        <v>8466.666667</v>
      </c>
    </row>
    <row r="25">
      <c r="B25" s="26" t="s">
        <v>80</v>
      </c>
      <c r="C25" s="4">
        <v>1.0</v>
      </c>
      <c r="D25" s="27">
        <f t="shared" si="3"/>
        <v>13.33333333</v>
      </c>
      <c r="E25" s="28">
        <f t="shared" si="4"/>
        <v>6</v>
      </c>
      <c r="F25" s="7">
        <f t="shared" si="5"/>
        <v>0.4444444444</v>
      </c>
      <c r="G25" s="27">
        <f t="shared" si="6"/>
        <v>80</v>
      </c>
      <c r="H25" s="27">
        <f t="shared" si="7"/>
        <v>400</v>
      </c>
      <c r="I25" s="27">
        <f t="shared" si="8"/>
        <v>1666.666667</v>
      </c>
      <c r="J25" s="27">
        <f t="shared" si="9"/>
        <v>0</v>
      </c>
      <c r="K25" s="27">
        <f t="shared" si="10"/>
        <v>3466.666667</v>
      </c>
      <c r="L25" s="27">
        <f t="shared" si="11"/>
        <v>8466.666667</v>
      </c>
      <c r="M25" s="27">
        <f t="shared" si="12"/>
        <v>33866.66667</v>
      </c>
    </row>
    <row r="26">
      <c r="B26" s="26" t="s">
        <v>81</v>
      </c>
      <c r="C26" s="4">
        <v>0.5</v>
      </c>
      <c r="D26" s="27">
        <f t="shared" si="3"/>
        <v>6.666666667</v>
      </c>
      <c r="E26" s="28">
        <f t="shared" si="4"/>
        <v>3</v>
      </c>
      <c r="F26" s="7">
        <f t="shared" si="5"/>
        <v>0.2222222222</v>
      </c>
      <c r="G26" s="27">
        <f t="shared" si="6"/>
        <v>40</v>
      </c>
      <c r="H26" s="27">
        <f t="shared" si="7"/>
        <v>200</v>
      </c>
      <c r="I26" s="27">
        <f t="shared" si="8"/>
        <v>833.3333333</v>
      </c>
      <c r="J26" s="27">
        <f t="shared" si="9"/>
        <v>0</v>
      </c>
      <c r="K26" s="27">
        <f t="shared" si="10"/>
        <v>1733.333333</v>
      </c>
      <c r="L26" s="27">
        <f t="shared" si="11"/>
        <v>4233.333333</v>
      </c>
      <c r="M26" s="27">
        <f t="shared" si="12"/>
        <v>16933.33333</v>
      </c>
    </row>
    <row r="27">
      <c r="B27" s="26" t="s">
        <v>82</v>
      </c>
      <c r="C27" s="4">
        <v>0.125</v>
      </c>
      <c r="D27" s="27">
        <f t="shared" si="3"/>
        <v>1.666666667</v>
      </c>
      <c r="E27" s="28">
        <f t="shared" si="4"/>
        <v>0.75</v>
      </c>
      <c r="F27" s="7">
        <f t="shared" si="5"/>
        <v>0.05555555556</v>
      </c>
      <c r="G27" s="27">
        <f t="shared" si="6"/>
        <v>10</v>
      </c>
      <c r="H27" s="27">
        <f t="shared" si="7"/>
        <v>50</v>
      </c>
      <c r="I27" s="27">
        <f t="shared" si="8"/>
        <v>208.3333333</v>
      </c>
      <c r="J27" s="27">
        <f t="shared" si="9"/>
        <v>0</v>
      </c>
      <c r="K27" s="27">
        <f t="shared" si="10"/>
        <v>433.3333333</v>
      </c>
      <c r="L27" s="27">
        <f t="shared" si="11"/>
        <v>1058.333333</v>
      </c>
      <c r="M27" s="27">
        <f t="shared" si="12"/>
        <v>4233.333333</v>
      </c>
    </row>
    <row r="28">
      <c r="B28" s="30" t="s">
        <v>59</v>
      </c>
      <c r="C28" s="31">
        <f t="shared" ref="C28:M28" si="13">SUM(C24:C27)</f>
        <v>1.875</v>
      </c>
      <c r="D28" s="32">
        <f t="shared" si="13"/>
        <v>25</v>
      </c>
      <c r="E28" s="31">
        <f t="shared" si="13"/>
        <v>11.25</v>
      </c>
      <c r="F28" s="33">
        <f t="shared" si="13"/>
        <v>0.8333333333</v>
      </c>
      <c r="G28" s="32">
        <f t="shared" si="13"/>
        <v>150</v>
      </c>
      <c r="H28" s="32">
        <f t="shared" si="13"/>
        <v>750</v>
      </c>
      <c r="I28" s="32">
        <f t="shared" si="13"/>
        <v>3125</v>
      </c>
      <c r="J28" s="32">
        <f t="shared" si="13"/>
        <v>0</v>
      </c>
      <c r="K28" s="32">
        <f t="shared" si="13"/>
        <v>6500</v>
      </c>
      <c r="L28" s="32">
        <f t="shared" si="13"/>
        <v>15875</v>
      </c>
      <c r="M28" s="32">
        <f t="shared" si="13"/>
        <v>63500</v>
      </c>
    </row>
    <row r="30">
      <c r="B30" s="24" t="s">
        <v>60</v>
      </c>
    </row>
    <row r="31">
      <c r="B31" s="25" t="s">
        <v>78</v>
      </c>
      <c r="C31" s="2" t="s">
        <v>61</v>
      </c>
      <c r="D31" s="2" t="s">
        <v>38</v>
      </c>
      <c r="E31" s="2" t="s">
        <v>39</v>
      </c>
      <c r="F31" s="2" t="s">
        <v>40</v>
      </c>
      <c r="G31" s="2" t="s">
        <v>41</v>
      </c>
      <c r="H31" s="2" t="s">
        <v>42</v>
      </c>
      <c r="I31" s="2" t="s">
        <v>43</v>
      </c>
      <c r="J31" s="2" t="s">
        <v>44</v>
      </c>
      <c r="K31" s="2" t="s">
        <v>45</v>
      </c>
      <c r="L31" s="2" t="s">
        <v>46</v>
      </c>
      <c r="M31" s="2" t="s">
        <v>47</v>
      </c>
    </row>
    <row r="32">
      <c r="B32" s="26" t="s">
        <v>75</v>
      </c>
      <c r="C32" s="4">
        <v>0.125</v>
      </c>
      <c r="D32" s="27">
        <f t="shared" ref="D32:D33" si="14">$D$37*C32</f>
        <v>1.666666667</v>
      </c>
      <c r="E32" s="28">
        <f t="shared" ref="E32:E33" si="15">C32*$C$3</f>
        <v>0.75</v>
      </c>
      <c r="F32" s="7">
        <f t="shared" ref="F32:F33" si="16">E32/$E$37</f>
        <v>0.05555555556</v>
      </c>
      <c r="G32" s="27">
        <f t="shared" ref="G32:G33" si="17">D32*$E$3</f>
        <v>10</v>
      </c>
      <c r="H32" s="27">
        <f t="shared" ref="H32:H33" si="18">G32*5</f>
        <v>50</v>
      </c>
      <c r="I32" s="27">
        <f t="shared" ref="I32:I33" si="19">G32*$M$3/12</f>
        <v>208.3333333</v>
      </c>
      <c r="J32" s="27">
        <f t="shared" ref="J32:J33" si="20">F32*$E$11</f>
        <v>0</v>
      </c>
      <c r="K32" s="27">
        <f t="shared" ref="K32:K33" si="21">F32*$H$8</f>
        <v>433.3333333</v>
      </c>
      <c r="L32" s="27">
        <f t="shared" ref="L32:L33" si="22">I32*3+K32</f>
        <v>1058.333333</v>
      </c>
      <c r="M32" s="27">
        <f t="shared" ref="M32:M33" si="23">L32*4</f>
        <v>4233.333333</v>
      </c>
      <c r="N32" s="27">
        <f>M32*5*10</f>
        <v>211666.6667</v>
      </c>
    </row>
    <row r="33">
      <c r="B33" s="26" t="s">
        <v>83</v>
      </c>
      <c r="C33" s="4">
        <v>0.25</v>
      </c>
      <c r="D33" s="27">
        <f t="shared" si="14"/>
        <v>3.333333333</v>
      </c>
      <c r="E33" s="28">
        <f t="shared" si="15"/>
        <v>1.5</v>
      </c>
      <c r="F33" s="7">
        <f t="shared" si="16"/>
        <v>0.1111111111</v>
      </c>
      <c r="G33" s="27">
        <f t="shared" si="17"/>
        <v>20</v>
      </c>
      <c r="H33" s="27">
        <f t="shared" si="18"/>
        <v>100</v>
      </c>
      <c r="I33" s="27">
        <f t="shared" si="19"/>
        <v>416.6666667</v>
      </c>
      <c r="J33" s="27">
        <f t="shared" si="20"/>
        <v>0</v>
      </c>
      <c r="K33" s="27">
        <f t="shared" si="21"/>
        <v>866.6666667</v>
      </c>
      <c r="L33" s="27">
        <f t="shared" si="22"/>
        <v>2116.666667</v>
      </c>
      <c r="M33" s="27">
        <f t="shared" si="23"/>
        <v>8466.666667</v>
      </c>
      <c r="N33" s="27">
        <f>M33*5</f>
        <v>42333.33333</v>
      </c>
    </row>
    <row r="34">
      <c r="B34" s="30" t="s">
        <v>59</v>
      </c>
      <c r="C34" s="31">
        <f t="shared" ref="C34:M34" si="24">SUM(C32:C33)</f>
        <v>0.375</v>
      </c>
      <c r="D34" s="32">
        <f t="shared" si="24"/>
        <v>5</v>
      </c>
      <c r="E34" s="31">
        <f t="shared" si="24"/>
        <v>2.25</v>
      </c>
      <c r="F34" s="33">
        <f t="shared" si="24"/>
        <v>0.1666666667</v>
      </c>
      <c r="G34" s="32">
        <f t="shared" si="24"/>
        <v>30</v>
      </c>
      <c r="H34" s="32">
        <f t="shared" si="24"/>
        <v>150</v>
      </c>
      <c r="I34" s="32">
        <f t="shared" si="24"/>
        <v>625</v>
      </c>
      <c r="J34" s="32">
        <f t="shared" si="24"/>
        <v>0</v>
      </c>
      <c r="K34" s="32">
        <f t="shared" si="24"/>
        <v>1300</v>
      </c>
      <c r="L34" s="32">
        <f t="shared" si="24"/>
        <v>3175</v>
      </c>
      <c r="M34" s="32">
        <f t="shared" si="24"/>
        <v>12700</v>
      </c>
    </row>
    <row r="36">
      <c r="C36" s="17" t="s">
        <v>61</v>
      </c>
      <c r="D36" s="17" t="s">
        <v>71</v>
      </c>
      <c r="E36" s="17" t="s">
        <v>72</v>
      </c>
    </row>
    <row r="37">
      <c r="B37" s="34" t="s">
        <v>73</v>
      </c>
      <c r="C37" s="19">
        <f>C28+C34</f>
        <v>2.25</v>
      </c>
      <c r="D37" s="10">
        <f>D10/C37</f>
        <v>13.33333333</v>
      </c>
      <c r="E37" s="35">
        <f>E34+E28</f>
        <v>13.5</v>
      </c>
    </row>
  </sheetData>
  <mergeCells count="1">
    <mergeCell ref="C20:I20"/>
  </mergeCells>
  <drawing r:id="rId1"/>
</worksheet>
</file>